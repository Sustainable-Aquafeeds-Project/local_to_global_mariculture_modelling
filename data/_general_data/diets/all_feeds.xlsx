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reimer\Documents\R-temp-files\local_to_global_mariculture_modelling\data\_general_data\diets\"/>
    </mc:Choice>
  </mc:AlternateContent>
  <xr:revisionPtr revIDLastSave="0" documentId="13_ncr:1_{5880B23D-73AB-4B48-BD58-74E31DC65400}" xr6:coauthVersionLast="47" xr6:coauthVersionMax="47" xr10:uidLastSave="{00000000-0000-0000-0000-000000000000}"/>
  <bookViews>
    <workbookView xWindow="22404" yWindow="0" windowWidth="17040" windowHeight="16656" xr2:uid="{A3945701-1F25-4092-97C8-50D4B2B937C4}"/>
  </bookViews>
  <sheets>
    <sheet name="all_feeds" sheetId="1" r:id="rId1"/>
  </sheets>
  <definedNames>
    <definedName name="_xlnm._FilterDatabase" localSheetId="0" hidden="1">all_feeds!$A$1:$J$39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  <c r="F14" i="1"/>
  <c r="F13" i="1"/>
  <c r="G11" i="1"/>
  <c r="G12" i="1"/>
  <c r="F12" i="1"/>
  <c r="F11" i="1"/>
  <c r="G18" i="1"/>
  <c r="F18" i="1"/>
  <c r="E13" i="1"/>
  <c r="E14" i="1"/>
  <c r="E11" i="1"/>
  <c r="E12" i="1"/>
  <c r="C6" i="1"/>
  <c r="B13" i="1"/>
  <c r="B14" i="1"/>
  <c r="B12" i="1"/>
  <c r="B11" i="1"/>
  <c r="B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tc={0C425B69-1EAF-4622-ABE6-30EE0C7BDD5F}</author>
    <author>tc={12928BF0-7E54-41D7-B0E0-D79E21DEF76F}</author>
    <author>tc={90D7A96E-7038-4845-948B-9EA1E7EFF240}</author>
    <author>tc={450A82A6-3C86-498F-ACC8-26ADEC349CDC}</author>
    <author>tc={295CEF34-0691-49CD-B4AA-404CFA1941B5}</author>
    <author>tc={6F58248A-EEB9-408F-A011-550C259F83D1}</author>
    <author>tc={5DF1B47B-2682-4788-A3BE-5F8E2E5F222F}</author>
    <author>tc={A8260738-79E8-4193-9FDD-1B0607AB7871}</author>
    <author>tc={E0DF4660-F670-466E-A64E-BE8356331DDE}</author>
    <author>tc={66269F61-1EA7-4522-A6E8-C17271CC498A}</author>
    <author>tc={202B778C-4D59-41E3-B4D4-415CB93CFCBA}</author>
    <author>tc={A52D0341-65F2-4636-B34E-E5D8EBC0680B}</author>
  </authors>
  <commentList>
    <comment ref="B1" authorId="0" shapeId="0" xr:uid="{0C425B69-1EAF-4622-ABE6-30EE0C7BDD5F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marine-dominant based on Ytrestøyl et al. (2015)</t>
      </text>
    </comment>
    <comment ref="C1" authorId="1" shapeId="0" xr:uid="{12928BF0-7E54-41D7-B0E0-D79E21DEF76F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 plant-dominant based on Aas et al. (2022)</t>
      </text>
    </comment>
    <comment ref="D1" authorId="2" shapeId="0" xr:uid="{90D7A96E-7038-4845-948B-9EA1E7EFF24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Basic novel, formulated by Tormey/Rich</t>
      </text>
    </comment>
    <comment ref="E1" authorId="3" shapeId="0" xr:uid="{450A82A6-3C86-498F-ACC8-26ADEC349CDC}">
      <text>
        <t>[Threaded comment]
Your version of Excel allows you to read this threaded comment; however, any edits to it will get removed if the file is opened in a newer version of Excel. Learn more: https://go.microsoft.com/fwlink/?linkid=870924
Comment:
    Marine-dominant formulation from biomar. The three biomar formulations here are calculated to be energetically equivalent.</t>
      </text>
    </comment>
    <comment ref="F1" authorId="4" shapeId="0" xr:uid="{295CEF34-0691-49CD-B4AA-404CFA1941B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Tom Fox-Smith, representative of a modern formulation</t>
      </text>
    </comment>
    <comment ref="G1" authorId="5" shapeId="0" xr:uid="{6F58248A-EEB9-408F-A011-550C259F83D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Tom Fox-Smith, representative of a higher animal ingredient inclusion</t>
      </text>
    </comment>
    <comment ref="H1" authorId="6" shapeId="0" xr:uid="{5DF1B47B-2682-4788-A3BE-5F8E2E5F222F}">
      <text>
        <t>[Threaded comment]
Your version of Excel allows you to read this threaded comment; however, any edits to it will get removed if the file is opened in a newer version of Excel. Learn more: https://go.microsoft.com/fwlink/?linkid=870924
Comment:
    Marine-dominant formulation from biomar. The three biomar formulations here are calculated to be energetically equivalent.</t>
      </text>
    </comment>
    <comment ref="I1" authorId="7" shapeId="0" xr:uid="{A8260738-79E8-4193-9FDD-1B0607AB787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Tom Fox-Smith, representative of a modern formulation</t>
      </text>
    </comment>
    <comment ref="J1" authorId="8" shapeId="0" xr:uid="{E0DF4660-F670-466E-A64E-BE8356331DD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Tom Fox-Smith, representative of a higher animal ingredient inclusion</t>
      </text>
    </comment>
    <comment ref="E11" authorId="9" shapeId="0" xr:uid="{66269F61-1EA7-4522-A6E8-C17271CC498A}">
      <text>
        <t>[Threaded comment]
Your version of Excel allows you to read this threaded comment; however, any edits to it will get removed if the file is opened in a newer version of Excel. Learn more: https://go.microsoft.com/fwlink/?linkid=870924
Comment:
    Tom’s formulation lumps fishmeal and krill altogether at 40%.</t>
      </text>
    </comment>
    <comment ref="B12" authorId="10" shapeId="0" xr:uid="{202B778C-4D59-41E3-B4D4-415CB93CFCB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Ytrestøyl (2015) Figure 2, average of 25.2% of marine ingredients are from trimmings from years 2010-2013.</t>
      </text>
    </comment>
    <comment ref="B14" authorId="11" shapeId="0" xr:uid="{A52D0341-65F2-4636-B34E-E5D8EBC0680B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Ytrestøyl (2015) Figure 2, average of 25.2% of marine ingredients are from trimmings from years 2010-2013.</t>
      </text>
    </comment>
  </commentList>
</comments>
</file>

<file path=xl/sharedStrings.xml><?xml version="1.0" encoding="utf-8"?>
<sst xmlns="http://schemas.openxmlformats.org/spreadsheetml/2006/main" count="48" uniqueCount="48">
  <si>
    <t>ingredient</t>
  </si>
  <si>
    <t>plant_dominant</t>
  </si>
  <si>
    <t>marine_dominant</t>
  </si>
  <si>
    <t>bsf-meal</t>
  </si>
  <si>
    <t>canola-oil</t>
  </si>
  <si>
    <t>coconut-oil</t>
  </si>
  <si>
    <t>faba-beans</t>
  </si>
  <si>
    <t>fishmeal-forage</t>
  </si>
  <si>
    <t>fishmeal-trimmings</t>
  </si>
  <si>
    <t>fish-oil-forage</t>
  </si>
  <si>
    <t>fish-oil-trimmings</t>
  </si>
  <si>
    <t>guar-meal</t>
  </si>
  <si>
    <t>krill-meal</t>
  </si>
  <si>
    <t>linseed-oil</t>
  </si>
  <si>
    <t>pea-flour</t>
  </si>
  <si>
    <t>pea-protein-concentrate</t>
  </si>
  <si>
    <t>soybean-meal</t>
  </si>
  <si>
    <t>soybean-oil</t>
  </si>
  <si>
    <t>soy-protein-concentrate</t>
  </si>
  <si>
    <t>spirulina-meal</t>
  </si>
  <si>
    <t>sunflower-meal</t>
  </si>
  <si>
    <t>wheat</t>
  </si>
  <si>
    <t>wheat-gluten</t>
  </si>
  <si>
    <t>microingredients</t>
  </si>
  <si>
    <t>yeast-meal</t>
  </si>
  <si>
    <t>single-cell-protein</t>
  </si>
  <si>
    <t>corn-gluten</t>
  </si>
  <si>
    <t>tapioca</t>
  </si>
  <si>
    <t>guar-meal-high-protein</t>
  </si>
  <si>
    <t>sunflower-meal-high-protein</t>
  </si>
  <si>
    <t>meat-bone-meal</t>
  </si>
  <si>
    <t>ovine-meal</t>
  </si>
  <si>
    <t>poultry-meal</t>
  </si>
  <si>
    <t>canola-meal</t>
  </si>
  <si>
    <t>feather-meal</t>
  </si>
  <si>
    <t>novel_inclusive_0</t>
  </si>
  <si>
    <t>hemoglobin-powder</t>
  </si>
  <si>
    <t>poultry-protein-concentrate</t>
  </si>
  <si>
    <t>poultry-oil</t>
  </si>
  <si>
    <t>algal-oil</t>
  </si>
  <si>
    <t>amino-acids</t>
  </si>
  <si>
    <t>marine_dominant_biomar</t>
  </si>
  <si>
    <t>lupin-meal-dehulled</t>
  </si>
  <si>
    <t>animal_dominant_biomar</t>
  </si>
  <si>
    <t>plant_dominant_biomar</t>
  </si>
  <si>
    <t>marine_dominant_biomar_original</t>
  </si>
  <si>
    <t>plant_dominant_biomar_original</t>
  </si>
  <si>
    <t>animal_dominant_biomar_original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</si>
</sst>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rmey Reimer" id="{CF1D84E9-9E0E-47B8-AF49-4AA23DD844A8}" userId="S::Tormey.Reimer@utas.edu.au::5363ace1-548c-4bb5-b9ab-da5334c0e5d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26T23:30:50.14" personId="{CF1D84E9-9E0E-47B8-AF49-4AA23DD844A8}" id="{0C425B69-1EAF-4622-ABE6-30EE0C7BDD5F}">
    <text>Original marine-dominant based on Ytrestøyl et al. (2015)</text>
  </threadedComment>
  <threadedComment ref="C1" dT="2025-11-26T23:42:51.14" personId="{CF1D84E9-9E0E-47B8-AF49-4AA23DD844A8}" id="{12928BF0-7E54-41D7-B0E0-D79E21DEF76F}">
    <text>Original plant-dominant based on Aas et al. (2022)</text>
  </threadedComment>
  <threadedComment ref="D1" dT="2025-11-26T23:48:13.61" personId="{CF1D84E9-9E0E-47B8-AF49-4AA23DD844A8}" id="{90D7A96E-7038-4845-948B-9EA1E7EFF240}">
    <text>Basic novel, formulated by Tormey/Rich</text>
  </threadedComment>
  <threadedComment ref="E1" dT="2025-11-26T23:53:21.15" personId="{CF1D84E9-9E0E-47B8-AF49-4AA23DD844A8}" id="{450A82A6-3C86-498F-ACC8-26ADEC349CDC}">
    <text>Marine-dominant formulation from biomar. The three biomar formulations here are calculated to be energetically equivalent.</text>
  </threadedComment>
  <threadedComment ref="F1" dT="2025-11-26T23:51:24.30" personId="{CF1D84E9-9E0E-47B8-AF49-4AA23DD844A8}" id="{295CEF34-0691-49CD-B4AA-404CFA1941B5}">
    <text>From Tom Fox-Smith, representative of a modern formulation</text>
  </threadedComment>
  <threadedComment ref="G1" dT="2025-11-27T00:03:37.69" personId="{CF1D84E9-9E0E-47B8-AF49-4AA23DD844A8}" id="{6F58248A-EEB9-408F-A011-550C259F83D1}">
    <text>From Tom Fox-Smith, representative of a higher animal ingredient inclusion</text>
  </threadedComment>
  <threadedComment ref="H1" dT="2025-11-26T23:53:21.15" personId="{CF1D84E9-9E0E-47B8-AF49-4AA23DD844A8}" id="{5DF1B47B-2682-4788-A3BE-5F8E2E5F222F}">
    <text>Marine-dominant formulation from biomar. The three biomar formulations here are calculated to be energetically equivalent.</text>
  </threadedComment>
  <threadedComment ref="I1" dT="2025-11-26T23:51:24.30" personId="{CF1D84E9-9E0E-47B8-AF49-4AA23DD844A8}" id="{A8260738-79E8-4193-9FDD-1B0607AB7871}">
    <text>From Tom Fox-Smith, representative of a modern formulation</text>
  </threadedComment>
  <threadedComment ref="J1" dT="2025-11-27T00:03:37.69" personId="{CF1D84E9-9E0E-47B8-AF49-4AA23DD844A8}" id="{E0DF4660-F670-466E-A64E-BE8356331DDE}">
    <text>From Tom Fox-Smith, representative of a higher animal ingredient inclusion</text>
  </threadedComment>
  <threadedComment ref="E11" dT="2025-11-26T23:56:58.41" personId="{CF1D84E9-9E0E-47B8-AF49-4AA23DD844A8}" id="{66269F61-1EA7-4522-A6E8-C17271CC498A}">
    <text>Tom’s formulation lumps fishmeal and krill altogether at 40%.</text>
  </threadedComment>
  <threadedComment ref="B12" dT="2025-11-26T23:39:37.94" personId="{CF1D84E9-9E0E-47B8-AF49-4AA23DD844A8}" id="{202B778C-4D59-41E3-B4D4-415CB93CFCBA}">
    <text>From Ytrestøyl (2015) Figure 2, average of 25.2% of marine ingredients are from trimmings from years 2010-2013.</text>
  </threadedComment>
  <threadedComment ref="B14" dT="2025-11-26T23:39:37.94" personId="{CF1D84E9-9E0E-47B8-AF49-4AA23DD844A8}" id="{A52D0341-65F2-4636-B34E-E5D8EBC0680B}">
    <text>From Ytrestøyl (2015) Figure 2, average of 25.2% of marine ingredients are from trimmings from years 2010-2013.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9CA1-42BE-4BD5-A831-409A491DC0E7}">
  <dimension ref="A1:J39"/>
  <sheetViews>
    <sheetView tabSelected="1" workbookViewId="0">
      <pane xSplit="1" topLeftCell="H1" activePane="topRight" state="frozen"/>
      <selection pane="topRight" activeCell="I2" sqref="I2"/>
    </sheetView>
  </sheetViews>
  <sheetFormatPr defaultRowHeight="14.4" x14ac:dyDescent="0.3"/>
  <cols>
    <col min="1" max="1" width="24.21875" bestFit="1" customWidth="1"/>
    <col min="2" max="2" width="17.33203125" hidden="1" customWidth="1"/>
    <col min="3" max="3" width="15.6640625" hidden="1" customWidth="1"/>
    <col min="4" max="4" width="17.109375" hidden="1" customWidth="1"/>
    <col min="5" max="5" width="9.33203125" customWidth="1"/>
    <col min="6" max="6" width="12.33203125" customWidth="1"/>
    <col min="7" max="7" width="8.109375" customWidth="1"/>
    <col min="8" max="8" width="21.77734375" bestFit="1" customWidth="1"/>
    <col min="9" max="9" width="20" bestFit="1" customWidth="1"/>
    <col min="10" max="10" width="21.5546875" bestFit="1" customWidth="1"/>
  </cols>
  <sheetData>
    <row r="1" spans="1:10" x14ac:dyDescent="0.3">
      <c r="A1" t="s">
        <v>0</v>
      </c>
      <c r="B1" t="s">
        <v>2</v>
      </c>
      <c r="C1" t="s">
        <v>1</v>
      </c>
      <c r="D1" t="s">
        <v>35</v>
      </c>
      <c r="E1" t="s">
        <v>45</v>
      </c>
      <c r="F1" t="s">
        <v>46</v>
      </c>
      <c r="G1" t="s">
        <v>47</v>
      </c>
      <c r="H1" t="s">
        <v>41</v>
      </c>
      <c r="I1" t="s">
        <v>44</v>
      </c>
      <c r="J1" t="s">
        <v>43</v>
      </c>
    </row>
    <row r="2" spans="1:10" x14ac:dyDescent="0.3">
      <c r="A2" t="s">
        <v>39</v>
      </c>
      <c r="B2" s="1"/>
      <c r="C2" s="1"/>
      <c r="D2" s="1">
        <v>2.5000000000000001E-2</v>
      </c>
      <c r="E2" s="1"/>
      <c r="F2" s="1">
        <v>4.7600000000000003E-2</v>
      </c>
      <c r="G2" s="1">
        <v>0.04</v>
      </c>
      <c r="H2" s="2"/>
      <c r="I2" s="2">
        <v>4.1071814505501562E-2</v>
      </c>
      <c r="J2" s="2">
        <v>2.6758309066129467E-2</v>
      </c>
    </row>
    <row r="3" spans="1:10" x14ac:dyDescent="0.3">
      <c r="A3" t="s">
        <v>40</v>
      </c>
      <c r="B3" s="1"/>
      <c r="C3" s="1"/>
      <c r="D3" s="1"/>
      <c r="E3" s="1">
        <v>2.5999999999999999E-3</v>
      </c>
      <c r="F3" s="1">
        <v>1.8800000000000001E-2</v>
      </c>
      <c r="G3" s="1">
        <v>2.7000000000000001E-3</v>
      </c>
      <c r="H3" s="2">
        <v>2.5997400259973997E-3</v>
      </c>
      <c r="I3" s="2">
        <v>2.1571331147847459E-2</v>
      </c>
      <c r="J3" s="2">
        <v>2.6758309066129467E-3</v>
      </c>
    </row>
    <row r="4" spans="1:10" x14ac:dyDescent="0.3">
      <c r="A4" t="s">
        <v>3</v>
      </c>
      <c r="B4" s="1"/>
      <c r="C4" s="1"/>
      <c r="D4" s="1">
        <v>0.05</v>
      </c>
      <c r="E4" s="1"/>
      <c r="F4" s="1"/>
      <c r="G4" s="1"/>
      <c r="H4" s="2"/>
      <c r="I4" s="2"/>
      <c r="J4" s="2"/>
    </row>
    <row r="5" spans="1:10" x14ac:dyDescent="0.3">
      <c r="A5" t="s">
        <v>33</v>
      </c>
      <c r="B5" s="1"/>
      <c r="C5" s="1"/>
      <c r="D5" s="1"/>
      <c r="E5" s="1"/>
      <c r="F5" s="1"/>
      <c r="G5" s="1"/>
      <c r="H5" s="2"/>
      <c r="I5" s="2"/>
      <c r="J5" s="2"/>
    </row>
    <row r="6" spans="1:10" x14ac:dyDescent="0.3">
      <c r="A6" t="s">
        <v>4</v>
      </c>
      <c r="B6" s="1">
        <v>0.183</v>
      </c>
      <c r="C6" s="1">
        <f>18%+0.4%</f>
        <v>0.184</v>
      </c>
      <c r="D6" s="1">
        <v>0.185</v>
      </c>
      <c r="E6" s="1">
        <v>0.23649999999999999</v>
      </c>
      <c r="F6" s="1">
        <v>0.24079999999999999</v>
      </c>
      <c r="G6" s="1">
        <v>0.1008</v>
      </c>
      <c r="H6" s="2">
        <v>0.23647635236476347</v>
      </c>
      <c r="I6" s="2">
        <v>0.29599803665885016</v>
      </c>
      <c r="J6" s="2">
        <v>0.11215930518582433</v>
      </c>
    </row>
    <row r="7" spans="1:10" x14ac:dyDescent="0.3">
      <c r="A7" t="s">
        <v>5</v>
      </c>
      <c r="B7" s="1"/>
      <c r="C7" s="1">
        <v>1E-3</v>
      </c>
      <c r="D7" s="1"/>
      <c r="E7" s="1"/>
      <c r="F7" s="1"/>
      <c r="G7" s="1"/>
      <c r="H7" s="2"/>
      <c r="I7" s="2"/>
      <c r="J7" s="2"/>
    </row>
    <row r="8" spans="1:10" x14ac:dyDescent="0.3">
      <c r="A8" t="s">
        <v>26</v>
      </c>
      <c r="B8" s="1">
        <v>8.0000000000000002E-3</v>
      </c>
      <c r="C8" s="1">
        <v>7.0000000000000001E-3</v>
      </c>
      <c r="D8" s="1">
        <v>9.5000000000000001E-2</v>
      </c>
      <c r="E8" s="1"/>
      <c r="F8" s="1"/>
      <c r="G8" s="1"/>
      <c r="H8" s="2"/>
      <c r="I8" s="2"/>
      <c r="J8" s="2"/>
    </row>
    <row r="9" spans="1:10" x14ac:dyDescent="0.3">
      <c r="A9" t="s">
        <v>6</v>
      </c>
      <c r="B9" s="1">
        <f>1.9%+0.3%</f>
        <v>2.1999999999999999E-2</v>
      </c>
      <c r="C9" s="1">
        <v>3.5999999999999997E-2</v>
      </c>
      <c r="D9" s="1"/>
      <c r="E9" s="1"/>
      <c r="F9" s="1"/>
      <c r="G9" s="1"/>
      <c r="H9" s="2"/>
      <c r="I9" s="2"/>
      <c r="J9" s="2"/>
    </row>
    <row r="10" spans="1:10" x14ac:dyDescent="0.3">
      <c r="A10" t="s">
        <v>34</v>
      </c>
      <c r="B10" s="1"/>
      <c r="C10" s="1"/>
      <c r="D10" s="1"/>
      <c r="E10" s="1">
        <v>2.6599999999999999E-2</v>
      </c>
      <c r="F10" s="1"/>
      <c r="G10" s="1">
        <v>1.7100000000000001E-2</v>
      </c>
      <c r="H10" s="2">
        <v>2.6597340265973397E-2</v>
      </c>
      <c r="I10" s="2"/>
      <c r="J10" s="2">
        <v>1.8302683401232554E-2</v>
      </c>
    </row>
    <row r="11" spans="1:10" x14ac:dyDescent="0.3">
      <c r="A11" t="s">
        <v>7</v>
      </c>
      <c r="B11" s="1">
        <f>19.5*(1-0.252)%</f>
        <v>0.14585999999999999</v>
      </c>
      <c r="C11" s="1">
        <v>8.7999999999999995E-2</v>
      </c>
      <c r="D11" s="1"/>
      <c r="E11" s="1">
        <f>30*0.75%</f>
        <v>0.22499999999999998</v>
      </c>
      <c r="F11" s="1">
        <f>7.5%*0.75*0.75</f>
        <v>4.2187499999999996E-2</v>
      </c>
      <c r="G11" s="1">
        <f>7.5%*0.75*0.75</f>
        <v>4.2187499999999996E-2</v>
      </c>
      <c r="H11" s="2">
        <v>0.22497750224977495</v>
      </c>
      <c r="I11" s="2">
        <v>3.640162131199258E-2</v>
      </c>
      <c r="J11" s="2">
        <v>4.5154646549093472E-2</v>
      </c>
    </row>
    <row r="12" spans="1:10" x14ac:dyDescent="0.3">
      <c r="A12" t="s">
        <v>8</v>
      </c>
      <c r="B12" s="1">
        <f>19.5*0.252%</f>
        <v>4.9140000000000003E-2</v>
      </c>
      <c r="C12" s="1">
        <v>3.3000000000000002E-2</v>
      </c>
      <c r="D12" s="1">
        <v>5.5E-2</v>
      </c>
      <c r="E12" s="1">
        <f>30*0.25%</f>
        <v>7.4999999999999997E-2</v>
      </c>
      <c r="F12" s="1">
        <f>7.5%*0.75*0.25</f>
        <v>1.4062499999999999E-2</v>
      </c>
      <c r="G12" s="1">
        <f>7.5%*0.75*0.25</f>
        <v>1.4062499999999999E-2</v>
      </c>
      <c r="H12" s="2">
        <v>7.4992500749924987E-2</v>
      </c>
      <c r="I12" s="2">
        <v>1.2133873770664194E-2</v>
      </c>
      <c r="J12" s="2">
        <v>1.5051548849697824E-2</v>
      </c>
    </row>
    <row r="13" spans="1:10" x14ac:dyDescent="0.3">
      <c r="A13" t="s">
        <v>9</v>
      </c>
      <c r="B13" s="1">
        <f>11.2*(1-0.252)%</f>
        <v>8.3775999999999989E-2</v>
      </c>
      <c r="C13" s="1">
        <v>8.3000000000000004E-2</v>
      </c>
      <c r="D13" s="1"/>
      <c r="E13" s="1">
        <f>7.69*0.75%</f>
        <v>5.7675000000000004E-2</v>
      </c>
      <c r="F13" s="1">
        <f>4.54%*0.75</f>
        <v>3.4050000000000004E-2</v>
      </c>
      <c r="G13" s="1">
        <f>6.12%*0.75</f>
        <v>4.5900000000000003E-2</v>
      </c>
      <c r="H13" s="2">
        <v>5.7669233076692319E-2</v>
      </c>
      <c r="I13" s="2">
        <v>2.9380153023368241E-2</v>
      </c>
      <c r="J13" s="2">
        <v>4.9128255445413702E-2</v>
      </c>
    </row>
    <row r="14" spans="1:10" x14ac:dyDescent="0.3">
      <c r="A14" t="s">
        <v>10</v>
      </c>
      <c r="B14" s="1">
        <f>11.2*0.252%</f>
        <v>2.8223999999999999E-2</v>
      </c>
      <c r="C14" s="1">
        <v>0.02</v>
      </c>
      <c r="D14" s="1">
        <v>6.5000000000000002E-2</v>
      </c>
      <c r="E14" s="1">
        <f>7.69*0.25%</f>
        <v>1.9225000000000003E-2</v>
      </c>
      <c r="F14" s="1">
        <f>4.54%*0.25</f>
        <v>1.1350000000000001E-2</v>
      </c>
      <c r="G14" s="1">
        <f>6.12%*0.25</f>
        <v>1.5300000000000001E-2</v>
      </c>
      <c r="H14" s="2">
        <v>1.9223077692230774E-2</v>
      </c>
      <c r="I14" s="2">
        <v>9.7933843411227468E-3</v>
      </c>
      <c r="J14" s="2">
        <v>1.6376085148471234E-2</v>
      </c>
    </row>
    <row r="15" spans="1:10" x14ac:dyDescent="0.3">
      <c r="A15" t="s">
        <v>11</v>
      </c>
      <c r="B15" s="1"/>
      <c r="C15" s="1"/>
      <c r="D15" s="1"/>
      <c r="E15" s="1"/>
      <c r="F15" s="1">
        <v>0.15</v>
      </c>
      <c r="G15" s="1"/>
      <c r="H15" s="2"/>
      <c r="I15" s="2">
        <v>0.14668505180536273</v>
      </c>
      <c r="J15" s="2"/>
    </row>
    <row r="16" spans="1:10" x14ac:dyDescent="0.3">
      <c r="A16" t="s">
        <v>28</v>
      </c>
      <c r="B16" s="1"/>
      <c r="C16" s="1">
        <v>4.2999999999999997E-2</v>
      </c>
      <c r="D16" s="1"/>
      <c r="E16" s="1"/>
      <c r="F16" s="1"/>
      <c r="G16" s="1"/>
      <c r="H16" s="2"/>
      <c r="I16" s="2"/>
      <c r="J16" s="2"/>
    </row>
    <row r="17" spans="1:10" x14ac:dyDescent="0.3">
      <c r="A17" t="s">
        <v>36</v>
      </c>
      <c r="B17" s="1"/>
      <c r="C17" s="1"/>
      <c r="D17" s="1"/>
      <c r="E17" s="1"/>
      <c r="F17" s="1"/>
      <c r="G17" s="1">
        <v>1.83E-2</v>
      </c>
      <c r="H17" s="2"/>
      <c r="I17" s="2"/>
      <c r="J17" s="2">
        <v>1.9587082236406768E-2</v>
      </c>
    </row>
    <row r="18" spans="1:10" x14ac:dyDescent="0.3">
      <c r="A18" t="s">
        <v>12</v>
      </c>
      <c r="B18" s="1"/>
      <c r="C18" s="1"/>
      <c r="D18" s="1">
        <v>0.02</v>
      </c>
      <c r="E18" s="1">
        <v>0.1</v>
      </c>
      <c r="F18" s="1">
        <f>7.5%*0.25</f>
        <v>1.8749999999999999E-2</v>
      </c>
      <c r="G18" s="1">
        <f>7.5%*0.25</f>
        <v>1.8749999999999999E-2</v>
      </c>
      <c r="H18" s="2">
        <v>9.9990000999899992E-2</v>
      </c>
      <c r="I18" s="2">
        <v>1.6178498360885592E-2</v>
      </c>
      <c r="J18" s="2">
        <v>2.00687317995971E-2</v>
      </c>
    </row>
    <row r="19" spans="1:10" x14ac:dyDescent="0.3">
      <c r="A19" t="s">
        <v>13</v>
      </c>
      <c r="B19" s="1"/>
      <c r="C19" s="1">
        <v>1.2999999999999999E-2</v>
      </c>
      <c r="D19" s="1">
        <v>3.5000000000000003E-2</v>
      </c>
      <c r="E19" s="1"/>
      <c r="F19" s="1"/>
      <c r="G19" s="1"/>
      <c r="H19" s="2"/>
      <c r="I19" s="2"/>
      <c r="J19" s="2"/>
    </row>
    <row r="20" spans="1:10" x14ac:dyDescent="0.3">
      <c r="A20" t="s">
        <v>42</v>
      </c>
      <c r="B20" s="1"/>
      <c r="C20" s="1"/>
      <c r="D20" s="1"/>
      <c r="E20" s="1"/>
      <c r="F20" s="1">
        <v>1.6E-2</v>
      </c>
      <c r="G20" s="1"/>
      <c r="H20" s="2"/>
      <c r="I20" s="2">
        <v>1.3805651934622375E-2</v>
      </c>
      <c r="J20" s="2"/>
    </row>
    <row r="21" spans="1:10" x14ac:dyDescent="0.3">
      <c r="A21" t="s">
        <v>30</v>
      </c>
      <c r="B21" s="1"/>
      <c r="C21" s="1"/>
      <c r="D21" s="1"/>
      <c r="E21" s="1"/>
      <c r="F21" s="1"/>
      <c r="G21" s="1">
        <v>0.1</v>
      </c>
      <c r="H21" s="2"/>
      <c r="I21" s="2"/>
      <c r="J21" s="2">
        <v>0.10703323626451787</v>
      </c>
    </row>
    <row r="22" spans="1:10" x14ac:dyDescent="0.3">
      <c r="A22" t="s">
        <v>23</v>
      </c>
      <c r="B22" s="1">
        <v>3.1E-2</v>
      </c>
      <c r="C22" s="1">
        <v>4.1000000000000002E-2</v>
      </c>
      <c r="D22" s="1">
        <v>0.04</v>
      </c>
      <c r="E22" s="1">
        <v>1.0999999999999999E-2</v>
      </c>
      <c r="F22" s="1">
        <v>2.76E-2</v>
      </c>
      <c r="G22" s="1">
        <v>1.12E-2</v>
      </c>
      <c r="H22" s="2">
        <v>1.0998900109988998E-2</v>
      </c>
      <c r="I22" s="2">
        <v>1.7257064918277967E-2</v>
      </c>
      <c r="J22" s="2">
        <v>1.1987722461626001E-2</v>
      </c>
    </row>
    <row r="23" spans="1:10" x14ac:dyDescent="0.3">
      <c r="A23" t="s">
        <v>31</v>
      </c>
      <c r="B23" s="1"/>
      <c r="C23" s="1"/>
      <c r="D23" s="1"/>
      <c r="E23" s="1"/>
      <c r="F23" s="1"/>
      <c r="G23" s="1"/>
      <c r="H23" s="2"/>
      <c r="I23" s="2"/>
      <c r="J23" s="2"/>
    </row>
    <row r="24" spans="1:10" x14ac:dyDescent="0.3">
      <c r="A24" t="s">
        <v>14</v>
      </c>
      <c r="B24" s="1">
        <v>0.01</v>
      </c>
      <c r="C24" s="1">
        <v>2.5000000000000001E-2</v>
      </c>
      <c r="D24" s="1"/>
      <c r="E24" s="1"/>
      <c r="F24" s="1"/>
      <c r="G24" s="1"/>
      <c r="H24" s="2"/>
      <c r="I24" s="2"/>
      <c r="J24" s="2"/>
    </row>
    <row r="25" spans="1:10" x14ac:dyDescent="0.3">
      <c r="A25" t="s">
        <v>15</v>
      </c>
      <c r="B25" s="1">
        <v>8.0000000000000002E-3</v>
      </c>
      <c r="C25" s="1">
        <v>1.4E-2</v>
      </c>
      <c r="D25" s="1">
        <v>0.05</v>
      </c>
      <c r="E25" s="1"/>
      <c r="F25" s="1">
        <v>2.69E-2</v>
      </c>
      <c r="G25" s="1"/>
      <c r="H25" s="2"/>
      <c r="I25" s="2">
        <v>2.3210752315083866E-2</v>
      </c>
      <c r="J25" s="2"/>
    </row>
    <row r="26" spans="1:10" x14ac:dyDescent="0.3">
      <c r="A26" t="s">
        <v>32</v>
      </c>
      <c r="B26" s="1"/>
      <c r="C26" s="1"/>
      <c r="D26" s="1"/>
      <c r="E26" s="1">
        <v>3.78E-2</v>
      </c>
      <c r="F26" s="1"/>
      <c r="G26" s="1">
        <v>0.26840000000000003</v>
      </c>
      <c r="H26" s="2">
        <v>3.7796220377962195E-2</v>
      </c>
      <c r="I26" s="2"/>
      <c r="J26" s="2">
        <v>0.26758309066129465</v>
      </c>
    </row>
    <row r="27" spans="1:10" x14ac:dyDescent="0.3">
      <c r="A27" t="s">
        <v>38</v>
      </c>
      <c r="B27" s="1"/>
      <c r="C27" s="1"/>
      <c r="D27" s="1"/>
      <c r="E27" s="1"/>
      <c r="F27" s="1"/>
      <c r="G27" s="1">
        <v>0.11849999999999999</v>
      </c>
      <c r="H27" s="2"/>
      <c r="I27" s="2"/>
      <c r="J27" s="2">
        <v>0.10703323626451787</v>
      </c>
    </row>
    <row r="28" spans="1:10" x14ac:dyDescent="0.3">
      <c r="A28" t="s">
        <v>37</v>
      </c>
      <c r="B28" s="1"/>
      <c r="C28" s="1"/>
      <c r="D28" s="1">
        <v>9.5000000000000001E-2</v>
      </c>
      <c r="E28" s="1"/>
      <c r="F28" s="1"/>
      <c r="G28" s="1">
        <v>0.05</v>
      </c>
      <c r="H28" s="2"/>
      <c r="I28" s="2"/>
      <c r="J28" s="2">
        <v>4.8164956319033038E-2</v>
      </c>
    </row>
    <row r="29" spans="1:10" x14ac:dyDescent="0.3">
      <c r="A29" t="s">
        <v>25</v>
      </c>
      <c r="B29" s="1"/>
      <c r="C29" s="1">
        <v>4.0000000000000001E-3</v>
      </c>
      <c r="D29" s="1">
        <v>7.0000000000000007E-2</v>
      </c>
      <c r="E29" s="1"/>
      <c r="F29" s="1"/>
      <c r="G29" s="1"/>
      <c r="H29" s="2"/>
      <c r="I29" s="2"/>
      <c r="J29" s="2"/>
    </row>
    <row r="30" spans="1:10" x14ac:dyDescent="0.3">
      <c r="A30" t="s">
        <v>16</v>
      </c>
      <c r="B30" s="1"/>
      <c r="C30" s="1"/>
      <c r="D30" s="1"/>
      <c r="E30" s="1"/>
      <c r="F30" s="1"/>
      <c r="G30" s="1"/>
      <c r="H30" s="2"/>
      <c r="I30" s="2"/>
      <c r="J30" s="2"/>
    </row>
    <row r="31" spans="1:10" x14ac:dyDescent="0.3">
      <c r="A31" t="s">
        <v>17</v>
      </c>
      <c r="B31" s="1"/>
      <c r="C31" s="1">
        <v>4.0000000000000001E-3</v>
      </c>
      <c r="D31" s="1">
        <v>0.02</v>
      </c>
      <c r="E31" s="1"/>
      <c r="F31" s="1"/>
      <c r="G31" s="1"/>
      <c r="H31" s="2"/>
      <c r="I31" s="2"/>
      <c r="J31" s="2"/>
    </row>
    <row r="32" spans="1:10" x14ac:dyDescent="0.3">
      <c r="A32" t="s">
        <v>18</v>
      </c>
      <c r="B32" s="1">
        <v>0.21299999999999999</v>
      </c>
      <c r="C32" s="1">
        <v>0.20899999999999999</v>
      </c>
      <c r="D32" s="1">
        <v>0.125</v>
      </c>
      <c r="E32" s="1"/>
      <c r="F32" s="1">
        <v>0.15</v>
      </c>
      <c r="G32" s="1"/>
      <c r="H32" s="2"/>
      <c r="I32" s="2">
        <v>0.14668505180536273</v>
      </c>
      <c r="J32" s="2"/>
    </row>
    <row r="33" spans="1:10" x14ac:dyDescent="0.3">
      <c r="A33" t="s">
        <v>19</v>
      </c>
      <c r="B33" s="1"/>
      <c r="C33" s="1"/>
      <c r="D33" s="1">
        <v>0.05</v>
      </c>
      <c r="E33" s="1"/>
      <c r="F33" s="1"/>
      <c r="G33" s="1"/>
      <c r="H33" s="2"/>
      <c r="I33" s="2"/>
      <c r="J33" s="2"/>
    </row>
    <row r="34" spans="1:10" x14ac:dyDescent="0.3">
      <c r="A34" t="s">
        <v>20</v>
      </c>
      <c r="B34" s="1">
        <v>0.06</v>
      </c>
      <c r="C34" s="1">
        <v>3.4000000000000002E-2</v>
      </c>
      <c r="D34" s="1"/>
      <c r="E34" s="1"/>
      <c r="F34" s="1"/>
      <c r="G34" s="1"/>
      <c r="H34" s="2"/>
      <c r="I34" s="2"/>
      <c r="J34" s="2"/>
    </row>
    <row r="35" spans="1:10" x14ac:dyDescent="0.3">
      <c r="A35" t="s">
        <v>29</v>
      </c>
      <c r="B35" s="1"/>
      <c r="C35" s="1"/>
      <c r="D35" s="1"/>
      <c r="E35" s="1"/>
      <c r="F35" s="1"/>
      <c r="G35" s="1"/>
      <c r="H35" s="2"/>
      <c r="I35" s="2"/>
      <c r="J35" s="2"/>
    </row>
    <row r="36" spans="1:10" x14ac:dyDescent="0.3">
      <c r="A36" t="s">
        <v>27</v>
      </c>
      <c r="B36" s="1">
        <v>2E-3</v>
      </c>
      <c r="C36" s="1"/>
      <c r="D36" s="1">
        <v>5.5E-2</v>
      </c>
      <c r="E36" s="1"/>
      <c r="F36" s="1"/>
      <c r="G36" s="1"/>
      <c r="H36" s="2"/>
      <c r="I36" s="2"/>
      <c r="J36" s="2"/>
    </row>
    <row r="37" spans="1:10" x14ac:dyDescent="0.3">
      <c r="A37" t="s">
        <v>21</v>
      </c>
      <c r="B37" s="1">
        <v>9.9000000000000005E-2</v>
      </c>
      <c r="C37" s="1">
        <v>6.5000000000000002E-2</v>
      </c>
      <c r="D37" s="1"/>
      <c r="E37" s="1">
        <v>0.2087</v>
      </c>
      <c r="F37" s="1">
        <v>0.1077</v>
      </c>
      <c r="G37" s="1">
        <v>0.1242</v>
      </c>
      <c r="H37" s="2">
        <v>0.20867913208679129</v>
      </c>
      <c r="I37" s="2">
        <v>0.10354238950966779</v>
      </c>
      <c r="J37" s="2">
        <v>0.13293527944053118</v>
      </c>
    </row>
    <row r="38" spans="1:10" x14ac:dyDescent="0.3">
      <c r="A38" t="s">
        <v>22</v>
      </c>
      <c r="B38" s="1">
        <v>5.8000000000000003E-2</v>
      </c>
      <c r="C38" s="1">
        <v>9.8000000000000004E-2</v>
      </c>
      <c r="D38" s="1"/>
      <c r="E38" s="1"/>
      <c r="F38" s="1">
        <v>9.74E-2</v>
      </c>
      <c r="G38" s="1"/>
      <c r="H38" s="2"/>
      <c r="I38" s="2">
        <v>8.6285324591389836E-2</v>
      </c>
      <c r="J38" s="2"/>
    </row>
    <row r="39" spans="1:10" x14ac:dyDescent="0.3">
      <c r="A39" t="s">
        <v>24</v>
      </c>
      <c r="B39" s="1"/>
      <c r="C39" s="1"/>
      <c r="D39" s="1">
        <v>0.08</v>
      </c>
      <c r="E39" s="1"/>
      <c r="F39" s="1"/>
      <c r="G39" s="1"/>
    </row>
  </sheetData>
  <autoFilter ref="A1:J39" xr:uid="{76559CA1-42BE-4BD5-A831-409A491DC0E7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all_feeds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Tormey Reimer</cp:lastModifiedBy>
  <dcterms:created xsi:type="dcterms:W3CDTF">2025-07-10T05:30:50Z</dcterms:created>
  <dcterms:modified xsi:type="dcterms:W3CDTF">2026-04-28T01:13:35Z</dcterms:modified>
</cp:coreProperties>
</file>