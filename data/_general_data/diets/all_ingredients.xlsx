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treimer\Documents\R-temp-files\local_to_global_mariculture_modelling\data\_general_data\diets\"/>
    </mc:Choice>
  </mc:AlternateContent>
  <xr:revisionPtr revIDLastSave="0" documentId="13_ncr:1_{291D5FC5-1FC6-4A72-819B-3911202AA841}" xr6:coauthVersionLast="47" xr6:coauthVersionMax="47" xr10:uidLastSave="{00000000-0000-0000-0000-000000000000}"/>
  <bookViews>
    <workbookView xWindow="348" yWindow="1272" windowWidth="20148" windowHeight="14988" activeTab="3" xr2:uid="{EACE1C46-B374-4940-8FA1-58EDCA6D9B2B}"/>
  </bookViews>
  <sheets>
    <sheet name="all_ingredients" sheetId="2" r:id="rId1"/>
    <sheet name="not_in_use" sheetId="5" r:id="rId2"/>
    <sheet name="formulating" sheetId="4" r:id="rId3"/>
    <sheet name="sources" sheetId="3" r:id="rId4"/>
  </sheets>
  <definedNames>
    <definedName name="_xlnm._FilterDatabase" localSheetId="0" hidden="1">all_ingredients!$A$1:$S$29</definedName>
    <definedName name="_xlnm._FilterDatabase" localSheetId="1" hidden="1">not_in_use!$A$1:$S$13</definedName>
    <definedName name="_xlnm._FilterDatabase" localSheetId="3" hidden="1">sources!$A$1:$D$43</definedName>
  </definedNames>
  <calcPr calcId="191029"/>
  <pivotCaches>
    <pivotCache cacheId="0" r:id="rId5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7" i="2" l="1"/>
  <c r="S7" i="2" s="1"/>
  <c r="H7" i="2"/>
  <c r="J7" i="2" s="1"/>
  <c r="W37" i="4"/>
  <c r="W28" i="4"/>
  <c r="W27" i="4"/>
  <c r="W26" i="4"/>
  <c r="W22" i="4"/>
  <c r="W21" i="4"/>
  <c r="W18" i="4"/>
  <c r="W17" i="4"/>
  <c r="W14" i="4"/>
  <c r="W13" i="4"/>
  <c r="W12" i="4"/>
  <c r="W11" i="4"/>
  <c r="W10" i="4"/>
  <c r="W2" i="4"/>
  <c r="W3" i="4"/>
  <c r="W6" i="4"/>
  <c r="T6" i="4"/>
  <c r="T38" i="4"/>
  <c r="T37" i="4"/>
  <c r="T32" i="4"/>
  <c r="T25" i="4"/>
  <c r="T22" i="4"/>
  <c r="T20" i="4"/>
  <c r="T18" i="4"/>
  <c r="T15" i="4"/>
  <c r="T14" i="4"/>
  <c r="T13" i="4"/>
  <c r="T12" i="4"/>
  <c r="T11" i="4"/>
  <c r="T3" i="4"/>
  <c r="T2" i="4"/>
  <c r="Q37" i="4"/>
  <c r="Q26" i="4"/>
  <c r="Q22" i="4"/>
  <c r="Q18" i="4"/>
  <c r="Q14" i="4"/>
  <c r="Q13" i="4"/>
  <c r="Q12" i="4"/>
  <c r="Q11" i="4"/>
  <c r="Q10" i="4"/>
  <c r="Q3" i="4"/>
  <c r="Q6" i="4"/>
  <c r="Y38" i="4"/>
  <c r="Y5" i="4"/>
  <c r="Y37" i="4"/>
  <c r="Y4" i="4"/>
  <c r="Y32" i="4"/>
  <c r="Y3" i="4"/>
  <c r="Y30" i="4"/>
  <c r="Y2" i="4"/>
  <c r="Y29" i="4"/>
  <c r="Y28" i="4"/>
  <c r="Y27" i="4"/>
  <c r="Y26" i="4"/>
  <c r="Y25" i="4"/>
  <c r="Y23" i="4"/>
  <c r="Y22" i="4"/>
  <c r="Y21" i="4"/>
  <c r="Y20" i="4"/>
  <c r="Y18" i="4"/>
  <c r="Y17" i="4"/>
  <c r="Y15" i="4"/>
  <c r="Y14" i="4"/>
  <c r="Y13" i="4"/>
  <c r="Y12" i="4"/>
  <c r="Y11" i="4"/>
  <c r="Y10" i="4"/>
  <c r="Y6" i="4"/>
  <c r="V38" i="4"/>
  <c r="V5" i="4"/>
  <c r="V37" i="4"/>
  <c r="V4" i="4"/>
  <c r="V32" i="4"/>
  <c r="V3" i="4"/>
  <c r="V30" i="4"/>
  <c r="V2" i="4"/>
  <c r="V29" i="4"/>
  <c r="V28" i="4"/>
  <c r="V26" i="4"/>
  <c r="V25" i="4"/>
  <c r="V23" i="4"/>
  <c r="V22" i="4"/>
  <c r="V21" i="4"/>
  <c r="V20" i="4"/>
  <c r="V18" i="4"/>
  <c r="V17" i="4"/>
  <c r="V15" i="4"/>
  <c r="V14" i="4"/>
  <c r="V13" i="4"/>
  <c r="V12" i="4"/>
  <c r="V11" i="4"/>
  <c r="V10" i="4"/>
  <c r="V6" i="4"/>
  <c r="V27" i="4"/>
  <c r="S3" i="4"/>
  <c r="S25" i="4"/>
  <c r="S26" i="4"/>
  <c r="S27" i="4"/>
  <c r="S28" i="4"/>
  <c r="S29" i="4"/>
  <c r="S32" i="4"/>
  <c r="S11" i="4"/>
  <c r="S37" i="4"/>
  <c r="S38" i="4"/>
  <c r="S18" i="4"/>
  <c r="S23" i="4"/>
  <c r="S4" i="4"/>
  <c r="S5" i="4"/>
  <c r="S6" i="4"/>
  <c r="S14" i="4"/>
  <c r="S17" i="4"/>
  <c r="S21" i="4"/>
  <c r="S30" i="4"/>
  <c r="S10" i="4"/>
  <c r="S12" i="4"/>
  <c r="S13" i="4"/>
  <c r="S15" i="4"/>
  <c r="S22" i="4"/>
  <c r="S20" i="4"/>
  <c r="S2" i="4"/>
  <c r="X38" i="4"/>
  <c r="X5" i="4"/>
  <c r="X37" i="4"/>
  <c r="X4" i="4"/>
  <c r="X32" i="4"/>
  <c r="X3" i="4"/>
  <c r="X30" i="4"/>
  <c r="X2" i="4"/>
  <c r="X29" i="4"/>
  <c r="X28" i="4"/>
  <c r="X27" i="4"/>
  <c r="X26" i="4"/>
  <c r="X25" i="4"/>
  <c r="X23" i="4"/>
  <c r="X22" i="4"/>
  <c r="X21" i="4"/>
  <c r="X20" i="4"/>
  <c r="X18" i="4"/>
  <c r="X17" i="4"/>
  <c r="X15" i="4"/>
  <c r="X14" i="4"/>
  <c r="X13" i="4"/>
  <c r="X12" i="4"/>
  <c r="X11" i="4"/>
  <c r="X10" i="4"/>
  <c r="X6" i="4"/>
  <c r="U37" i="4"/>
  <c r="U4" i="4"/>
  <c r="U32" i="4"/>
  <c r="U3" i="4"/>
  <c r="U30" i="4"/>
  <c r="U2" i="4"/>
  <c r="U23" i="4"/>
  <c r="U21" i="4"/>
  <c r="U20" i="4"/>
  <c r="U17" i="4"/>
  <c r="U14" i="4"/>
  <c r="U12" i="4"/>
  <c r="U10" i="4"/>
  <c r="U38" i="4"/>
  <c r="U29" i="4"/>
  <c r="U28" i="4"/>
  <c r="U26" i="4"/>
  <c r="U25" i="4"/>
  <c r="U22" i="4"/>
  <c r="U18" i="4"/>
  <c r="U15" i="4"/>
  <c r="U13" i="4"/>
  <c r="U11" i="4"/>
  <c r="U6" i="4"/>
  <c r="U5" i="4"/>
  <c r="U27" i="4"/>
  <c r="R30" i="4"/>
  <c r="R10" i="4"/>
  <c r="R32" i="4"/>
  <c r="R11" i="4"/>
  <c r="R12" i="4"/>
  <c r="R13" i="4"/>
  <c r="R14" i="4"/>
  <c r="R15" i="4"/>
  <c r="R37" i="4"/>
  <c r="R38" i="4"/>
  <c r="R17" i="4"/>
  <c r="R20" i="4"/>
  <c r="R26" i="4"/>
  <c r="R29" i="4"/>
  <c r="R18" i="4"/>
  <c r="R21" i="4"/>
  <c r="R22" i="4"/>
  <c r="R23" i="4"/>
  <c r="R25" i="4"/>
  <c r="R27" i="4"/>
  <c r="R28" i="4"/>
  <c r="R5" i="4"/>
  <c r="R6" i="4"/>
  <c r="R4" i="4"/>
  <c r="R3" i="4"/>
  <c r="R2" i="4"/>
  <c r="P3" i="4"/>
  <c r="Q42" i="4" l="1"/>
  <c r="R3" i="5"/>
  <c r="S3" i="5" s="1"/>
  <c r="P3" i="5"/>
  <c r="O3" i="5"/>
  <c r="M3" i="5"/>
  <c r="L3" i="5"/>
  <c r="H3" i="5"/>
  <c r="J3" i="5" s="1"/>
  <c r="R2" i="5"/>
  <c r="S2" i="5" s="1"/>
  <c r="P2" i="5"/>
  <c r="O2" i="5"/>
  <c r="L2" i="5"/>
  <c r="M2" i="5" s="1"/>
  <c r="J2" i="5"/>
  <c r="L22" i="2"/>
  <c r="M22" i="2" s="1"/>
  <c r="J10" i="5"/>
  <c r="H9" i="5"/>
  <c r="H4" i="5"/>
  <c r="H2" i="2"/>
  <c r="J2" i="2" s="1"/>
  <c r="R27" i="2"/>
  <c r="S27" i="2" s="1"/>
  <c r="R25" i="2"/>
  <c r="S25" i="2" s="1"/>
  <c r="R21" i="2"/>
  <c r="S21" i="2" s="1"/>
  <c r="R22" i="2"/>
  <c r="S22" i="2" s="1"/>
  <c r="R23" i="2"/>
  <c r="S23" i="2" s="1"/>
  <c r="R4" i="2"/>
  <c r="S4" i="2" s="1"/>
  <c r="R18" i="2"/>
  <c r="S18" i="2" s="1"/>
  <c r="R2" i="2"/>
  <c r="S2" i="2" s="1"/>
  <c r="R3" i="2"/>
  <c r="S3" i="2" s="1"/>
  <c r="P29" i="2"/>
  <c r="P28" i="2"/>
  <c r="P16" i="2"/>
  <c r="P26" i="2"/>
  <c r="P25" i="2"/>
  <c r="P24" i="2"/>
  <c r="P23" i="2"/>
  <c r="P22" i="2"/>
  <c r="P18" i="2"/>
  <c r="P19" i="2"/>
  <c r="P17" i="2"/>
  <c r="I29" i="2"/>
  <c r="G29" i="2"/>
  <c r="F29" i="2"/>
  <c r="H28" i="2"/>
  <c r="G16" i="2"/>
  <c r="H16" i="2" s="1"/>
  <c r="H15" i="2"/>
  <c r="H14" i="2"/>
  <c r="G13" i="2"/>
  <c r="F13" i="2"/>
  <c r="G12" i="2"/>
  <c r="H12" i="2" s="1"/>
  <c r="H11" i="2"/>
  <c r="H10" i="2"/>
  <c r="G9" i="2"/>
  <c r="H9" i="2" s="1"/>
  <c r="I24" i="2"/>
  <c r="G24" i="2"/>
  <c r="F24" i="2"/>
  <c r="I8" i="2"/>
  <c r="G8" i="2"/>
  <c r="H8" i="2" s="1"/>
  <c r="H23" i="2"/>
  <c r="R13" i="5"/>
  <c r="S13" i="5" s="1"/>
  <c r="P13" i="5"/>
  <c r="O13" i="5"/>
  <c r="L13" i="5"/>
  <c r="M13" i="5" s="1"/>
  <c r="J13" i="5"/>
  <c r="R12" i="5"/>
  <c r="S12" i="5" s="1"/>
  <c r="P12" i="5"/>
  <c r="O12" i="5"/>
  <c r="L12" i="5"/>
  <c r="M12" i="5" s="1"/>
  <c r="J12" i="5"/>
  <c r="R11" i="5"/>
  <c r="S11" i="5" s="1"/>
  <c r="P11" i="5"/>
  <c r="O11" i="5"/>
  <c r="L11" i="5"/>
  <c r="M11" i="5" s="1"/>
  <c r="J11" i="5"/>
  <c r="R10" i="5"/>
  <c r="S10" i="5" s="1"/>
  <c r="P10" i="5"/>
  <c r="O10" i="5"/>
  <c r="L10" i="5"/>
  <c r="M10" i="5" s="1"/>
  <c r="R9" i="5"/>
  <c r="S9" i="5" s="1"/>
  <c r="P9" i="5"/>
  <c r="O9" i="5"/>
  <c r="L9" i="5"/>
  <c r="M9" i="5" s="1"/>
  <c r="R8" i="5"/>
  <c r="S8" i="5" s="1"/>
  <c r="P8" i="5"/>
  <c r="O8" i="5"/>
  <c r="L8" i="5"/>
  <c r="M8" i="5" s="1"/>
  <c r="J8" i="5"/>
  <c r="R7" i="5"/>
  <c r="S7" i="5" s="1"/>
  <c r="P7" i="5"/>
  <c r="O7" i="5"/>
  <c r="L7" i="5"/>
  <c r="M7" i="5" s="1"/>
  <c r="J7" i="5"/>
  <c r="R6" i="5"/>
  <c r="S6" i="5" s="1"/>
  <c r="P6" i="5"/>
  <c r="O6" i="5"/>
  <c r="L6" i="5"/>
  <c r="M6" i="5" s="1"/>
  <c r="J6" i="5"/>
  <c r="R5" i="5"/>
  <c r="S5" i="5" s="1"/>
  <c r="P5" i="5"/>
  <c r="O5" i="5"/>
  <c r="L5" i="5"/>
  <c r="M5" i="5" s="1"/>
  <c r="J5" i="5"/>
  <c r="R4" i="5"/>
  <c r="S4" i="5" s="1"/>
  <c r="P4" i="5"/>
  <c r="O4" i="5"/>
  <c r="L4" i="5"/>
  <c r="M4" i="5" s="1"/>
  <c r="J18" i="2"/>
  <c r="J19" i="2"/>
  <c r="J20" i="2"/>
  <c r="J21" i="2"/>
  <c r="J22" i="2"/>
  <c r="J25" i="2"/>
  <c r="J26" i="2"/>
  <c r="J27" i="2"/>
  <c r="J17" i="2"/>
  <c r="I6" i="2"/>
  <c r="H6" i="2"/>
  <c r="J6" i="2" s="1"/>
  <c r="I5" i="2"/>
  <c r="H5" i="2"/>
  <c r="J5" i="2" s="1"/>
  <c r="I4" i="2"/>
  <c r="G4" i="2"/>
  <c r="H4" i="2" s="1"/>
  <c r="J4" i="2" s="1"/>
  <c r="H3" i="2"/>
  <c r="J3" i="2" s="1"/>
  <c r="O29" i="2"/>
  <c r="O28" i="2"/>
  <c r="O16" i="2"/>
  <c r="O26" i="2"/>
  <c r="O24" i="2"/>
  <c r="O23" i="2"/>
  <c r="O22" i="2"/>
  <c r="O19" i="2"/>
  <c r="O17" i="2"/>
  <c r="L29" i="2"/>
  <c r="M29" i="2" s="1"/>
  <c r="L28" i="2"/>
  <c r="M28" i="2" s="1"/>
  <c r="L26" i="2"/>
  <c r="M26" i="2" s="1"/>
  <c r="L23" i="2"/>
  <c r="M23" i="2" s="1"/>
  <c r="O25" i="2"/>
  <c r="O18" i="2"/>
  <c r="R17" i="2"/>
  <c r="S17" i="2" s="1"/>
  <c r="R10" i="2"/>
  <c r="S10" i="2" s="1"/>
  <c r="R11" i="2"/>
  <c r="S11" i="2" s="1"/>
  <c r="R9" i="2"/>
  <c r="S9" i="2" s="1"/>
  <c r="R12" i="2"/>
  <c r="S12" i="2" s="1"/>
  <c r="R16" i="2"/>
  <c r="S16" i="2" s="1"/>
  <c r="R13" i="2"/>
  <c r="S13" i="2" s="1"/>
  <c r="R15" i="2"/>
  <c r="S15" i="2" s="1"/>
  <c r="R14" i="2"/>
  <c r="S14" i="2" s="1"/>
  <c r="R26" i="2"/>
  <c r="S26" i="2" s="1"/>
  <c r="R28" i="2"/>
  <c r="S28" i="2" s="1"/>
  <c r="R29" i="2"/>
  <c r="S29" i="2" s="1"/>
  <c r="R19" i="2"/>
  <c r="S19" i="2" s="1"/>
  <c r="R20" i="2"/>
  <c r="S20" i="2" s="1"/>
  <c r="L17" i="2"/>
  <c r="M17" i="2" s="1"/>
  <c r="L19" i="2"/>
  <c r="M19" i="2" s="1"/>
  <c r="L20" i="2"/>
  <c r="M20" i="2" s="1"/>
  <c r="L21" i="2"/>
  <c r="M21" i="2" s="1"/>
  <c r="L27" i="2"/>
  <c r="M27" i="2" s="1"/>
  <c r="S6" i="2"/>
  <c r="R6" i="2"/>
  <c r="Q6" i="2"/>
  <c r="S5" i="2"/>
  <c r="R5" i="2"/>
  <c r="Q5" i="2"/>
  <c r="S8" i="2"/>
  <c r="R8" i="2"/>
  <c r="S24" i="2"/>
  <c r="R24" i="2"/>
  <c r="Q24" i="2"/>
  <c r="L24" i="2"/>
  <c r="M24" i="2"/>
  <c r="K24" i="2"/>
  <c r="P28" i="4"/>
  <c r="P29" i="4"/>
  <c r="P30" i="4"/>
  <c r="P32" i="4"/>
  <c r="P37" i="4"/>
  <c r="P38" i="4"/>
  <c r="P25" i="4"/>
  <c r="P18" i="4"/>
  <c r="P4" i="4"/>
  <c r="P26" i="4"/>
  <c r="P15" i="4"/>
  <c r="P21" i="4"/>
  <c r="P5" i="4"/>
  <c r="P27" i="4"/>
  <c r="P17" i="4"/>
  <c r="P22" i="4"/>
  <c r="P6" i="4"/>
  <c r="P12" i="4"/>
  <c r="P14" i="4"/>
  <c r="P23" i="4"/>
  <c r="P11" i="4"/>
  <c r="P13" i="4"/>
  <c r="P10" i="4"/>
  <c r="P20" i="4"/>
  <c r="P2" i="4"/>
  <c r="N12" i="4"/>
  <c r="N23" i="4"/>
  <c r="N28" i="4"/>
  <c r="N13" i="4"/>
  <c r="N37" i="4"/>
  <c r="N14" i="4"/>
  <c r="N15" i="4"/>
  <c r="N38" i="4"/>
  <c r="N26" i="4"/>
  <c r="N30" i="4"/>
  <c r="N17" i="4"/>
  <c r="N21" i="4"/>
  <c r="N25" i="4"/>
  <c r="N27" i="4"/>
  <c r="N29" i="4"/>
  <c r="N18" i="4"/>
  <c r="N32" i="4"/>
  <c r="N20" i="4"/>
  <c r="N4" i="4"/>
  <c r="N5" i="4"/>
  <c r="N6" i="4"/>
  <c r="N11" i="4"/>
  <c r="N10" i="4"/>
  <c r="N2" i="4"/>
  <c r="L38" i="4"/>
  <c r="L4" i="4"/>
  <c r="L5" i="4"/>
  <c r="L2" i="4"/>
  <c r="J67" i="4"/>
  <c r="D68" i="4"/>
  <c r="H49" i="4"/>
  <c r="D54" i="4"/>
  <c r="C58" i="4"/>
  <c r="I65" i="4"/>
  <c r="G56" i="4"/>
  <c r="F68" i="4"/>
  <c r="E48" i="4"/>
  <c r="K71" i="4"/>
  <c r="F49" i="4"/>
  <c r="D52" i="4"/>
  <c r="J68" i="4"/>
  <c r="D73" i="4"/>
  <c r="D65" i="4"/>
  <c r="E66" i="4"/>
  <c r="I73" i="4"/>
  <c r="F56" i="4"/>
  <c r="J72" i="4"/>
  <c r="F53" i="4"/>
  <c r="D71" i="4"/>
  <c r="H57" i="4"/>
  <c r="C60" i="4"/>
  <c r="G50" i="4"/>
  <c r="I52" i="4"/>
  <c r="I66" i="4"/>
  <c r="I53" i="4"/>
  <c r="D55" i="4"/>
  <c r="C57" i="4"/>
  <c r="F50" i="4"/>
  <c r="J73" i="4"/>
  <c r="K56" i="4"/>
  <c r="F73" i="4"/>
  <c r="I49" i="4"/>
  <c r="J62" i="4"/>
  <c r="E65" i="4"/>
  <c r="D49" i="4"/>
  <c r="E60" i="4"/>
  <c r="C61" i="4"/>
  <c r="H65" i="4"/>
  <c r="C74" i="4"/>
  <c r="D58" i="4"/>
  <c r="E67" i="4"/>
  <c r="J66" i="4"/>
  <c r="E53" i="4"/>
  <c r="E55" i="4"/>
  <c r="C72" i="4"/>
  <c r="F63" i="4"/>
  <c r="D69" i="4"/>
  <c r="G51" i="4"/>
  <c r="C55" i="4"/>
  <c r="H54" i="4"/>
  <c r="K72" i="4"/>
  <c r="F69" i="4"/>
  <c r="H70" i="4"/>
  <c r="I48" i="4"/>
  <c r="J65" i="4"/>
  <c r="G73" i="4"/>
  <c r="D57" i="4"/>
  <c r="H53" i="4"/>
  <c r="D62" i="4"/>
  <c r="K57" i="4"/>
  <c r="E50" i="4"/>
  <c r="G60" i="4"/>
  <c r="F47" i="4"/>
  <c r="C66" i="4"/>
  <c r="C52" i="4"/>
  <c r="H74" i="4"/>
  <c r="I58" i="4"/>
  <c r="K67" i="4"/>
  <c r="F70" i="4"/>
  <c r="J56" i="4"/>
  <c r="G68" i="4"/>
  <c r="K70" i="4"/>
  <c r="E54" i="4"/>
  <c r="G65" i="4"/>
  <c r="E57" i="4"/>
  <c r="H71" i="4"/>
  <c r="G70" i="4"/>
  <c r="I61" i="4"/>
  <c r="K63" i="4"/>
  <c r="E64" i="4"/>
  <c r="F57" i="4"/>
  <c r="G57" i="4"/>
  <c r="D47" i="4"/>
  <c r="K58" i="4"/>
  <c r="H69" i="4"/>
  <c r="F64" i="4"/>
  <c r="D50" i="4"/>
  <c r="E73" i="4"/>
  <c r="I70" i="4"/>
  <c r="I62" i="4"/>
  <c r="E47" i="4"/>
  <c r="K61" i="4"/>
  <c r="K65" i="4"/>
  <c r="F71" i="4"/>
  <c r="C53" i="4"/>
  <c r="C63" i="4"/>
  <c r="D56" i="4"/>
  <c r="I57" i="4"/>
  <c r="H73" i="4"/>
  <c r="G62" i="4"/>
  <c r="D60" i="4"/>
  <c r="G58" i="4"/>
  <c r="F55" i="4"/>
  <c r="E61" i="4"/>
  <c r="G48" i="4"/>
  <c r="I47" i="4"/>
  <c r="J74" i="4"/>
  <c r="G54" i="4"/>
  <c r="K73" i="4"/>
  <c r="F66" i="4"/>
  <c r="E69" i="4"/>
  <c r="H63" i="4"/>
  <c r="D74" i="4"/>
  <c r="K52" i="4"/>
  <c r="J71" i="4"/>
  <c r="D66" i="4"/>
  <c r="I60" i="4"/>
  <c r="K60" i="4"/>
  <c r="H50" i="4"/>
  <c r="D72" i="4"/>
  <c r="E68" i="4"/>
  <c r="I71" i="4"/>
  <c r="K54" i="4"/>
  <c r="G61" i="4"/>
  <c r="E70" i="4"/>
  <c r="K48" i="4"/>
  <c r="C50" i="4"/>
  <c r="H58" i="4"/>
  <c r="I67" i="4"/>
  <c r="G53" i="4"/>
  <c r="H68" i="4"/>
  <c r="C69" i="4"/>
  <c r="J50" i="4"/>
  <c r="H55" i="4"/>
  <c r="K49" i="4"/>
  <c r="G66" i="4"/>
  <c r="C51" i="4"/>
  <c r="F62" i="4"/>
  <c r="J53" i="4"/>
  <c r="J54" i="4"/>
  <c r="F48" i="4"/>
  <c r="C48" i="4"/>
  <c r="J58" i="4"/>
  <c r="H72" i="4"/>
  <c r="K53" i="4"/>
  <c r="J52" i="4"/>
  <c r="E58" i="4"/>
  <c r="E52" i="4"/>
  <c r="F61" i="4"/>
  <c r="D48" i="4"/>
  <c r="G74" i="4"/>
  <c r="G69" i="4"/>
  <c r="D70" i="4"/>
  <c r="F72" i="4"/>
  <c r="F54" i="4"/>
  <c r="E51" i="4"/>
  <c r="E49" i="4"/>
  <c r="F60" i="4"/>
  <c r="K55" i="4"/>
  <c r="K74" i="4"/>
  <c r="F74" i="4"/>
  <c r="H52" i="4"/>
  <c r="J60" i="4"/>
  <c r="C62" i="4"/>
  <c r="G55" i="4"/>
  <c r="K66" i="4"/>
  <c r="F52" i="4"/>
  <c r="C49" i="4"/>
  <c r="E72" i="4"/>
  <c r="G64" i="4"/>
  <c r="C71" i="4"/>
  <c r="D61" i="4"/>
  <c r="C70" i="4"/>
  <c r="I55" i="4"/>
  <c r="D53" i="4"/>
  <c r="G72" i="4"/>
  <c r="J70" i="4"/>
  <c r="H67" i="4"/>
  <c r="H61" i="4"/>
  <c r="K51" i="4"/>
  <c r="C64" i="4"/>
  <c r="D51" i="4"/>
  <c r="D64" i="4"/>
  <c r="G52" i="4"/>
  <c r="J57" i="4"/>
  <c r="H62" i="4"/>
  <c r="C67" i="4"/>
  <c r="D63" i="4"/>
  <c r="K47" i="4"/>
  <c r="K50" i="4"/>
  <c r="J61" i="4"/>
  <c r="F58" i="4"/>
  <c r="K68" i="4"/>
  <c r="J55" i="4"/>
  <c r="I68" i="4"/>
  <c r="I74" i="4"/>
  <c r="I50" i="4"/>
  <c r="D67" i="4"/>
  <c r="F67" i="4"/>
  <c r="G63" i="4"/>
  <c r="G47" i="4"/>
  <c r="G67" i="4"/>
  <c r="C73" i="4"/>
  <c r="J47" i="4"/>
  <c r="H56" i="4"/>
  <c r="I63" i="4"/>
  <c r="K69" i="4"/>
  <c r="H66" i="4"/>
  <c r="E62" i="4"/>
  <c r="E63" i="4"/>
  <c r="J64" i="4"/>
  <c r="E74" i="4"/>
  <c r="F65" i="4"/>
  <c r="K62" i="4"/>
  <c r="I56" i="4"/>
  <c r="H48" i="4"/>
  <c r="G49" i="4"/>
  <c r="C65" i="4"/>
  <c r="I69" i="4"/>
  <c r="H51" i="4"/>
  <c r="J49" i="4"/>
  <c r="I54" i="4"/>
  <c r="C56" i="4"/>
  <c r="C54" i="4"/>
  <c r="F51" i="4"/>
  <c r="C68" i="4"/>
  <c r="H47" i="4"/>
  <c r="E71" i="4"/>
  <c r="K64" i="4"/>
  <c r="H60" i="4"/>
  <c r="J48" i="4"/>
  <c r="G71" i="4"/>
  <c r="C47" i="4"/>
  <c r="I51" i="4"/>
  <c r="J69" i="4"/>
  <c r="I72" i="4"/>
  <c r="J63" i="4"/>
  <c r="J51" i="4"/>
  <c r="I64" i="4"/>
  <c r="H64" i="4"/>
  <c r="E56" i="4"/>
  <c r="W42" i="4" l="1"/>
  <c r="W43" i="4"/>
  <c r="W41" i="4"/>
  <c r="H24" i="2"/>
  <c r="H13" i="2"/>
  <c r="J13" i="2" s="1"/>
  <c r="H29" i="2"/>
  <c r="J15" i="2"/>
  <c r="J28" i="2"/>
  <c r="J24" i="2"/>
  <c r="J10" i="2"/>
  <c r="J9" i="2"/>
  <c r="J23" i="2"/>
  <c r="J14" i="2"/>
  <c r="J8" i="2"/>
  <c r="J12" i="2"/>
  <c r="J11" i="2"/>
  <c r="J16" i="2"/>
  <c r="J29" i="2"/>
  <c r="J4" i="5"/>
  <c r="J9" i="5"/>
  <c r="T42" i="4" l="1"/>
  <c r="T43" i="4"/>
  <c r="T41" i="4"/>
  <c r="L17" i="4"/>
  <c r="L15" i="4"/>
  <c r="L21" i="4"/>
  <c r="L32" i="4"/>
  <c r="L30" i="4"/>
  <c r="L29" i="4"/>
  <c r="L28" i="4"/>
  <c r="L27" i="4"/>
  <c r="L25" i="4"/>
  <c r="L23" i="4"/>
  <c r="L20" i="4"/>
  <c r="Q43" i="4" l="1"/>
  <c r="L18" i="4"/>
  <c r="L26" i="4"/>
  <c r="L10" i="4"/>
  <c r="L11" i="4"/>
  <c r="L12" i="4"/>
  <c r="L13" i="4"/>
  <c r="L14" i="4"/>
  <c r="L37" i="4"/>
  <c r="L6" i="4"/>
  <c r="Q41" i="4" l="1"/>
</calcChain>
</file>

<file path=xl/sharedStrings.xml><?xml version="1.0" encoding="utf-8"?>
<sst xmlns="http://schemas.openxmlformats.org/spreadsheetml/2006/main" count="501" uniqueCount="145">
  <si>
    <t>ingredient</t>
  </si>
  <si>
    <t>bsf-meal</t>
  </si>
  <si>
    <t>canola-meal</t>
  </si>
  <si>
    <t>canola-oil</t>
  </si>
  <si>
    <t>coconut-oil</t>
  </si>
  <si>
    <t>corn-gluten</t>
  </si>
  <si>
    <t>faba-beans</t>
  </si>
  <si>
    <t>feather-meal</t>
  </si>
  <si>
    <t>fishmeal-forage</t>
  </si>
  <si>
    <t>fishmeal-trimmings</t>
  </si>
  <si>
    <t>fish-oil-forage</t>
  </si>
  <si>
    <t>fish-oil-trimmings</t>
  </si>
  <si>
    <t>guar-meal</t>
  </si>
  <si>
    <t>guar-meal-high-protein</t>
  </si>
  <si>
    <t>krill-meal</t>
  </si>
  <si>
    <t>linseed-oil</t>
  </si>
  <si>
    <t>meat-bone-meal</t>
  </si>
  <si>
    <t>microingredients</t>
  </si>
  <si>
    <t>ovine-meal</t>
  </si>
  <si>
    <t>pea-flour</t>
  </si>
  <si>
    <t>pea-protein-concentrate</t>
  </si>
  <si>
    <t>poultry-meal</t>
  </si>
  <si>
    <t>rapeseed-oil</t>
  </si>
  <si>
    <t>single-cell-protein</t>
  </si>
  <si>
    <t>soybean-meal</t>
  </si>
  <si>
    <t>soybean-oil</t>
  </si>
  <si>
    <t>soy-protein-concentrate</t>
  </si>
  <si>
    <t>spirulina-meal</t>
  </si>
  <si>
    <t>sunflower-meal</t>
  </si>
  <si>
    <t>sunflower-meal-high-protein</t>
  </si>
  <si>
    <t>tapioca</t>
  </si>
  <si>
    <t>wheat</t>
  </si>
  <si>
    <t>wheat-gluten</t>
  </si>
  <si>
    <t>yeast-meal</t>
  </si>
  <si>
    <t>min_protein_digestibility</t>
  </si>
  <si>
    <t>max_protein_digestibility</t>
  </si>
  <si>
    <t>min_lipid_digestibility</t>
  </si>
  <si>
    <t>max_lipid_digestibility</t>
  </si>
  <si>
    <t>min_carb_digestibility</t>
  </si>
  <si>
    <t>max_carb_digestibility</t>
  </si>
  <si>
    <t>mean_protein_digestibility</t>
  </si>
  <si>
    <t>mean_lipid_digestibility</t>
  </si>
  <si>
    <t>mean_carb_digestibility</t>
  </si>
  <si>
    <t>protein</t>
  </si>
  <si>
    <t>lipid</t>
  </si>
  <si>
    <t>ash</t>
  </si>
  <si>
    <t>carb</t>
  </si>
  <si>
    <t>algal-oil</t>
  </si>
  <si>
    <t>amino-acids</t>
  </si>
  <si>
    <t>hemoglobin-powder</t>
  </si>
  <si>
    <t>lupine-meal-dehulled</t>
  </si>
  <si>
    <t>poultry-oil</t>
  </si>
  <si>
    <t>poultry-protein-concentrate</t>
  </si>
  <si>
    <t>Cassava roots | Feedipedia</t>
  </si>
  <si>
    <t>Sunflower meal, solvent-extracted, dehulled and partially dehulled | Feedipedia</t>
  </si>
  <si>
    <t>Sunflower meal, solvent-extracted, dehulled or non-dehulled | Feedipedia</t>
  </si>
  <si>
    <t>Microalgae | Feedipedia</t>
  </si>
  <si>
    <t>Digestibility values?</t>
  </si>
  <si>
    <t>Soybean meal, high protein, type 50 and similar | Feedipedia</t>
  </si>
  <si>
    <t>Blood meal | Feedipedia</t>
  </si>
  <si>
    <t>NA</t>
  </si>
  <si>
    <t>Values for Lupinus albus and L. angustifolius (content and digestibility) from Salini &amp; Adams (2014)</t>
  </si>
  <si>
    <t>Crude values for Antarctic krill (Olsen et al., 2006), AD values from PDKM (Hansen et al., 2010)</t>
  </si>
  <si>
    <t>https://www.feedipedia.org/node/11685</t>
  </si>
  <si>
    <t>Fish meal, 60-68% protein as fed | Feedipedia</t>
  </si>
  <si>
    <t>All grey-highlighted cells are placeholder values</t>
  </si>
  <si>
    <t>meat-meal</t>
  </si>
  <si>
    <t>in_use</t>
  </si>
  <si>
    <t>T</t>
  </si>
  <si>
    <t>F</t>
  </si>
  <si>
    <t>Proximate composition and digestibility from https://www.sciencedirect.com/science/article/pii/S0044848621007961</t>
  </si>
  <si>
    <t>type</t>
  </si>
  <si>
    <t>novel</t>
  </si>
  <si>
    <t>plant</t>
  </si>
  <si>
    <t>marine</t>
  </si>
  <si>
    <t>animal</t>
  </si>
  <si>
    <t>SUM CHECK</t>
  </si>
  <si>
    <t>in use</t>
  </si>
  <si>
    <t>to get</t>
  </si>
  <si>
    <t>source</t>
  </si>
  <si>
    <t>Protein from Louise, lipid and ash concentrations from https://www.sciencedirect.com/science/article/pii/S0044848619316102</t>
  </si>
  <si>
    <t>Nutritive values from https://www.feedipedia.org/node/11697, carb digestibility from pigs (https://www.feedipedia.org/node/311)</t>
  </si>
  <si>
    <t>Lipid digestibility from https://www.sciencedirect.com/science/article/pii/S004484862200850X</t>
  </si>
  <si>
    <t>Digestibility from https://www.sciencedirect.com/science/article/pii/S0044848609005055</t>
  </si>
  <si>
    <t>Lipid digestibility from https://www.sciencedirect.com/science/article/pii/S0044848609005055</t>
  </si>
  <si>
    <t>Lipid digestibility from https://www.veramaris.com/scientific-publications-detail/algal-oil-improves-control-of-long-chain-omega-3-levels-in-atlantic-salmon-without-detriment-to-zootechnical-performance-and-sensory-characteristics</t>
  </si>
  <si>
    <t>in_MS</t>
  </si>
  <si>
    <t>Row Labels</t>
  </si>
  <si>
    <t>Sum of protein</t>
  </si>
  <si>
    <t>Sum of lipid</t>
  </si>
  <si>
    <t>Sum of carb</t>
  </si>
  <si>
    <t>Sum of mean_protein_digestibility</t>
  </si>
  <si>
    <t>Sum of mean_lipid_digestibility</t>
  </si>
  <si>
    <t>Sum of mean_carb_digestibility</t>
  </si>
  <si>
    <t>Ingredient</t>
  </si>
  <si>
    <t>Ingredient name</t>
  </si>
  <si>
    <t>P</t>
  </si>
  <si>
    <t>Mean</t>
  </si>
  <si>
    <t>Min</t>
  </si>
  <si>
    <t>Max</t>
  </si>
  <si>
    <t>Comp</t>
  </si>
  <si>
    <t>L</t>
  </si>
  <si>
    <t>exp_data</t>
  </si>
  <si>
    <t>Black soldier fly</t>
  </si>
  <si>
    <t>Canola meal</t>
  </si>
  <si>
    <t>Feather meal</t>
  </si>
  <si>
    <t>Krill meal</t>
  </si>
  <si>
    <t>Meat and bone meal</t>
  </si>
  <si>
    <t>Meat meal</t>
  </si>
  <si>
    <t>Ovine meal</t>
  </si>
  <si>
    <t>Poultry meal</t>
  </si>
  <si>
    <t>Poultry protein concentrate</t>
  </si>
  <si>
    <t>Single-cell protein</t>
  </si>
  <si>
    <t>Soybean meal</t>
  </si>
  <si>
    <t>Soy protein concentrate</t>
  </si>
  <si>
    <t>Algal oil</t>
  </si>
  <si>
    <t>Amino acids</t>
  </si>
  <si>
    <t>Canola oil</t>
  </si>
  <si>
    <t>Fishmeal (forage)</t>
  </si>
  <si>
    <t>Fishmeal (trimmings)</t>
  </si>
  <si>
    <t>Fish oil (forage)</t>
  </si>
  <si>
    <t>Fish oil (trimmings)</t>
  </si>
  <si>
    <t>Guar meal</t>
  </si>
  <si>
    <t>Haemoglobin powder</t>
  </si>
  <si>
    <t>Lupine meal, dehulled</t>
  </si>
  <si>
    <t>Microingredients</t>
  </si>
  <si>
    <t>Wheat</t>
  </si>
  <si>
    <t>Pea protein concentrate</t>
  </si>
  <si>
    <t>Poultry oil</t>
  </si>
  <si>
    <t>Wheat gluten</t>
  </si>
  <si>
    <t>lupin-meal-dehulled</t>
  </si>
  <si>
    <t>marine_dominant_biomar_original</t>
  </si>
  <si>
    <t>plant_dominant_biomar_original</t>
  </si>
  <si>
    <t>animal_dominant_biomar_original</t>
  </si>
  <si>
    <t>marine_dominant_biomar</t>
  </si>
  <si>
    <t>plant_dominant_biomar</t>
  </si>
  <si>
    <t>animal_dominant_biomar</t>
  </si>
  <si>
    <t>Energy</t>
  </si>
  <si>
    <t>Protein</t>
  </si>
  <si>
    <t>ENERGY</t>
  </si>
  <si>
    <t>PROTEIN</t>
  </si>
  <si>
    <t>insect-meal</t>
  </si>
  <si>
    <t>All yellow-highlighted cells are taken from Louise's results</t>
  </si>
  <si>
    <t>aa-yellow-highlight</t>
  </si>
  <si>
    <t>aa-grey-highlight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</si>
</sst>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65" formatCode="0.0000%"/>
  </numFmts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2" tint="-0.249977111117893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4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 applyNumberFormat="0" applyFill="0" applyBorder="0" applyAlignment="0" applyProtection="0"/>
    <xf numFmtId="9" fontId="1" fillId="0" borderId="0" applyFont="0" applyFill="0" applyBorder="0" applyAlignment="0" applyProtection="0"/>
  </cellStyleXfs>
  <cellXfs count="19">
    <xf numFmtId="0" fontId="0" fillId="0" borderId="0" xfId="0"/>
    <xf numFmtId="0" fontId="18" fillId="0" borderId="0" xfId="42"/>
    <xf numFmtId="0" fontId="0" fillId="0" borderId="0" xfId="0" applyAlignment="1">
      <alignment wrapText="1"/>
    </xf>
    <xf numFmtId="0" fontId="0" fillId="33" borderId="0" xfId="0" applyFill="1"/>
    <xf numFmtId="0" fontId="0" fillId="34" borderId="0" xfId="0" applyFill="1"/>
    <xf numFmtId="9" fontId="0" fillId="0" borderId="0" xfId="43" applyFont="1"/>
    <xf numFmtId="0" fontId="0" fillId="0" borderId="0" xfId="0" pivotButton="1"/>
    <xf numFmtId="0" fontId="0" fillId="0" borderId="0" xfId="0" applyAlignment="1">
      <alignment horizontal="left"/>
    </xf>
    <xf numFmtId="164" fontId="0" fillId="0" borderId="0" xfId="43" applyNumberFormat="1" applyFont="1"/>
    <xf numFmtId="164" fontId="0" fillId="33" borderId="0" xfId="43" applyNumberFormat="1" applyFont="1" applyFill="1"/>
    <xf numFmtId="164" fontId="0" fillId="35" borderId="0" xfId="43" applyNumberFormat="1" applyFont="1" applyFill="1"/>
    <xf numFmtId="164" fontId="0" fillId="0" borderId="0" xfId="43" applyNumberFormat="1" applyFont="1" applyFill="1"/>
    <xf numFmtId="164" fontId="0" fillId="0" borderId="0" xfId="0" applyNumberFormat="1"/>
    <xf numFmtId="164" fontId="0" fillId="34" borderId="0" xfId="43" applyNumberFormat="1" applyFont="1" applyFill="1"/>
    <xf numFmtId="10" fontId="0" fillId="0" borderId="0" xfId="43" applyNumberFormat="1" applyFont="1"/>
    <xf numFmtId="2" fontId="0" fillId="33" borderId="0" xfId="0" applyNumberFormat="1" applyFill="1"/>
    <xf numFmtId="10" fontId="0" fillId="36" borderId="0" xfId="43" applyNumberFormat="1" applyFont="1" applyFill="1"/>
    <xf numFmtId="165" fontId="0" fillId="0" borderId="0" xfId="0" applyNumberFormat="1"/>
    <xf numFmtId="0" fontId="0" fillId="0" borderId="0" xfId="43" applyNumberFormat="1" applyFont="1"/>
  </cellXfs>
  <cellStyles count="44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Percent" xfId="43" builtinId="5"/>
    <cellStyle name="Title" xfId="1" builtinId="15" customBuiltin="1"/>
    <cellStyle name="Total" xfId="17" builtinId="25" customBuiltin="1"/>
    <cellStyle name="Warning Text" xfId="14" builtinId="11" customBuiltin="1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Tormey Reimer" refreshedDate="46078.437356712966" createdVersion="8" refreshedVersion="8" minRefreshableVersion="3" recordCount="27" xr:uid="{6D4F782E-02BC-4637-8610-FB6EA4233406}">
  <cacheSource type="worksheet">
    <worksheetSource ref="A1:S29" sheet="all_ingredients"/>
  </cacheSource>
  <cacheFields count="19">
    <cacheField name="ingredient" numFmtId="0">
      <sharedItems count="27">
        <s v="algal-oil"/>
        <s v="amino-acids"/>
        <s v="canola-oil"/>
        <s v="fishmeal-forage"/>
        <s v="fishmeal-trimmings"/>
        <s v="fish-oil-forage"/>
        <s v="fish-oil-trimmings"/>
        <s v="guar-meal"/>
        <s v="hemoglobin-powder"/>
        <s v="lupin-meal-dehulled"/>
        <s v="microingredients"/>
        <s v="pea-protein-concentrate"/>
        <s v="poultry-oil"/>
        <s v="wheat"/>
        <s v="wheat-gluten"/>
        <s v="bsf-meal"/>
        <s v="canola-meal"/>
        <s v="feather-meal"/>
        <s v="krill-meal"/>
        <s v="meat-bone-meal"/>
        <s v="meat-meal"/>
        <s v="ovine-meal"/>
        <s v="poultry-meal"/>
        <s v="poultry-protein-concentrate"/>
        <s v="single-cell-protein"/>
        <s v="soybean-meal"/>
        <s v="soy-protein-concentrate"/>
      </sharedItems>
    </cacheField>
    <cacheField name="type" numFmtId="0">
      <sharedItems containsBlank="1"/>
    </cacheField>
    <cacheField name="in_use" numFmtId="0">
      <sharedItems/>
    </cacheField>
    <cacheField name="in_MS" numFmtId="0">
      <sharedItems count="1">
        <s v="T"/>
      </sharedItems>
    </cacheField>
    <cacheField name="exp_data" numFmtId="0">
      <sharedItems/>
    </cacheField>
    <cacheField name="protein" numFmtId="164">
      <sharedItems containsSemiMixedTypes="0" containsString="0" containsNumber="1" minValue="0" maxValue="0.93"/>
    </cacheField>
    <cacheField name="lipid" numFmtId="164">
      <sharedItems containsSemiMixedTypes="0" containsString="0" containsNumber="1" minValue="0" maxValue="1"/>
    </cacheField>
    <cacheField name="carb" numFmtId="164">
      <sharedItems containsSemiMixedTypes="0" containsString="0" containsNumber="1" minValue="0" maxValue="0.83000000000000007"/>
    </cacheField>
    <cacheField name="ash" numFmtId="164">
      <sharedItems containsSemiMixedTypes="0" containsString="0" containsNumber="1" minValue="0" maxValue="1"/>
    </cacheField>
    <cacheField name="SUM CHECK" numFmtId="164">
      <sharedItems containsSemiMixedTypes="0" containsString="0" containsNumber="1" containsInteger="1" minValue="1" maxValue="1"/>
    </cacheField>
    <cacheField name="mean_protein_digestibility" numFmtId="164">
      <sharedItems containsSemiMixedTypes="0" containsString="0" containsNumber="1" minValue="0" maxValue="0.94144621422710895"/>
    </cacheField>
    <cacheField name="min_protein_digestibility" numFmtId="164">
      <sharedItems containsSemiMixedTypes="0" containsString="0" containsNumber="1" minValue="0" maxValue="0.92915488186404305"/>
    </cacheField>
    <cacheField name="max_protein_digestibility" numFmtId="164">
      <sharedItems containsSemiMixedTypes="0" containsString="0" containsNumber="1" minValue="0" maxValue="0.95038279881441345"/>
    </cacheField>
    <cacheField name="mean_lipid_digestibility" numFmtId="164">
      <sharedItems containsSemiMixedTypes="0" containsString="0" containsNumber="1" minValue="0" maxValue="0.96578520322974404"/>
    </cacheField>
    <cacheField name="min_lipid_digestibility" numFmtId="164">
      <sharedItems containsSemiMixedTypes="0" containsString="0" containsNumber="1" minValue="0" maxValue="0.94929975751542295"/>
    </cacheField>
    <cacheField name="max_lipid_digestibility" numFmtId="164">
      <sharedItems containsSemiMixedTypes="0" containsString="0" containsNumber="1" minValue="0" maxValue="0.99934990680000002"/>
    </cacheField>
    <cacheField name="mean_carb_digestibility" numFmtId="164">
      <sharedItems containsSemiMixedTypes="0" containsString="0" containsNumber="1" minValue="0" maxValue="0.88000000000000012"/>
    </cacheField>
    <cacheField name="min_carb_digestibility" numFmtId="164">
      <sharedItems containsSemiMixedTypes="0" containsString="0" containsNumber="1" minValue="0" maxValue="0.83600000000000008"/>
    </cacheField>
    <cacheField name="max_carb_digestibility" numFmtId="164">
      <sharedItems containsSemiMixedTypes="0" containsString="0" containsNumber="1" minValue="0" maxValue="0.92599999999999993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7">
  <r>
    <x v="0"/>
    <s v="novel"/>
    <s v="T"/>
    <x v="0"/>
    <s v="F"/>
    <n v="0"/>
    <n v="1"/>
    <n v="0"/>
    <n v="0"/>
    <n v="1"/>
    <n v="0"/>
    <n v="0"/>
    <n v="0"/>
    <n v="0.95176181599999998"/>
    <n v="0.90417372519999994"/>
    <n v="0.99934990680000002"/>
    <n v="0"/>
    <n v="0"/>
    <n v="0"/>
  </r>
  <r>
    <x v="1"/>
    <m/>
    <s v="T"/>
    <x v="0"/>
    <s v="F"/>
    <n v="0"/>
    <n v="0"/>
    <n v="0"/>
    <n v="1"/>
    <n v="1"/>
    <n v="0"/>
    <n v="0"/>
    <n v="0"/>
    <n v="0"/>
    <n v="0"/>
    <n v="0"/>
    <n v="0"/>
    <n v="0"/>
    <n v="0"/>
  </r>
  <r>
    <x v="2"/>
    <s v="plant"/>
    <s v="T"/>
    <x v="0"/>
    <s v="F"/>
    <n v="0"/>
    <n v="1"/>
    <n v="0"/>
    <n v="0"/>
    <n v="1"/>
    <n v="0"/>
    <n v="0"/>
    <n v="0"/>
    <n v="0.95176181599999998"/>
    <n v="0.90417372519999994"/>
    <n v="0.99934990680000002"/>
    <n v="0"/>
    <n v="0"/>
    <n v="0"/>
  </r>
  <r>
    <x v="3"/>
    <s v="marine"/>
    <s v="T"/>
    <x v="0"/>
    <s v="F"/>
    <n v="0.73424999999999996"/>
    <n v="8.3000000000000004E-2"/>
    <n v="4.3750000000000067E-2"/>
    <n v="0.13900000000000001"/>
    <n v="1"/>
    <n v="0.87984013184420995"/>
    <n v="0.82968438947751899"/>
    <n v="0.922123463912633"/>
    <n v="0.95670948993092597"/>
    <n v="0.89930858976900496"/>
    <n v="0.99203085303952299"/>
    <n v="0.83299999999999996"/>
    <n v="0.745"/>
    <n v="0.92599999999999993"/>
  </r>
  <r>
    <x v="4"/>
    <s v="marine"/>
    <s v="T"/>
    <x v="0"/>
    <s v="F"/>
    <n v="0.73424999999999996"/>
    <n v="8.3000000000000004E-2"/>
    <n v="4.3750000000000067E-2"/>
    <n v="0.13900000000000001"/>
    <n v="1"/>
    <n v="0.87984013184420995"/>
    <n v="0.82968438947751899"/>
    <n v="0.922123463912633"/>
    <n v="0.95670948993092597"/>
    <n v="0.89930858976900496"/>
    <n v="0.99203085303952299"/>
    <n v="0.81700000000000006"/>
    <n v="0.71799999999999997"/>
    <n v="0.91599999999999993"/>
  </r>
  <r>
    <x v="5"/>
    <s v="marine"/>
    <s v="T"/>
    <x v="0"/>
    <s v="F"/>
    <n v="0"/>
    <n v="1"/>
    <n v="0"/>
    <n v="0"/>
    <n v="1"/>
    <n v="0"/>
    <n v="0"/>
    <n v="0"/>
    <n v="0.95670948993092597"/>
    <n v="0.89930858976900496"/>
    <n v="0.99203085303952299"/>
    <n v="0"/>
    <n v="0"/>
    <n v="0"/>
  </r>
  <r>
    <x v="6"/>
    <s v="marine"/>
    <s v="T"/>
    <x v="0"/>
    <s v="F"/>
    <n v="0"/>
    <n v="1"/>
    <n v="0"/>
    <n v="0"/>
    <n v="1"/>
    <n v="0"/>
    <n v="0"/>
    <n v="0"/>
    <n v="0.95670948993092597"/>
    <n v="0.89930858976900496"/>
    <n v="0.99203085303952299"/>
    <n v="0"/>
    <n v="0"/>
    <n v="0"/>
  </r>
  <r>
    <x v="7"/>
    <s v="plant"/>
    <s v="T"/>
    <x v="0"/>
    <s v="F"/>
    <n v="0.42"/>
    <n v="5.2999999999999999E-2"/>
    <n v="0.46899999999999997"/>
    <n v="5.8000000000000003E-2"/>
    <n v="1"/>
    <n v="0.63000000000000012"/>
    <n v="0.59850000000000003"/>
    <n v="0.62842500000000001"/>
    <n v="0.95176181599999998"/>
    <n v="0.90417372519999994"/>
    <n v="0.99934990680000002"/>
    <n v="0.71"/>
    <n v="0.67449999999999999"/>
    <n v="0.70822499999999999"/>
  </r>
  <r>
    <x v="8"/>
    <s v="animal"/>
    <s v="T"/>
    <x v="0"/>
    <s v="F"/>
    <n v="0.93"/>
    <n v="7.0000000000000007E-2"/>
    <n v="0"/>
    <n v="0"/>
    <n v="1"/>
    <n v="0.622"/>
    <n v="0.58467999999999998"/>
    <n v="0.6197608"/>
    <n v="0.95176181599999998"/>
    <n v="0.90417372519999994"/>
    <n v="0.99934990680000002"/>
    <n v="0.60399999999999998"/>
    <n v="0.57379999999999998"/>
    <n v="0.60248999999999997"/>
  </r>
  <r>
    <x v="9"/>
    <s v="plant"/>
    <s v="T"/>
    <x v="0"/>
    <s v="F"/>
    <n v="0.41809999999999997"/>
    <n v="0.14003333333333337"/>
    <n v="0.41068333333333329"/>
    <n v="3.1183333333333334E-2"/>
    <n v="1"/>
    <n v="0.89050000000000007"/>
    <n v="0.879"/>
    <n v="0.90099999999999991"/>
    <n v="0.95176181599999998"/>
    <n v="0.90417372519999994"/>
    <n v="0.99934990680000002"/>
    <n v="0.79749999999999999"/>
    <n v="0.77400000000000002"/>
    <n v="0.81200000000000006"/>
  </r>
  <r>
    <x v="10"/>
    <m/>
    <s v="T"/>
    <x v="0"/>
    <s v="F"/>
    <n v="0"/>
    <n v="0"/>
    <n v="0"/>
    <n v="1"/>
    <n v="1"/>
    <n v="0"/>
    <n v="0"/>
    <n v="0"/>
    <n v="0"/>
    <n v="0"/>
    <n v="0"/>
    <n v="0"/>
    <n v="0"/>
    <n v="0"/>
  </r>
  <r>
    <x v="11"/>
    <s v="plant"/>
    <s v="T"/>
    <x v="0"/>
    <s v="F"/>
    <n v="0.84"/>
    <n v="0.05"/>
    <n v="7.0000000000000007E-2"/>
    <n v="0.04"/>
    <n v="1"/>
    <n v="0.88"/>
    <n v="0.82719999999999994"/>
    <n v="0.87683199999999994"/>
    <n v="0.95176181599999998"/>
    <n v="0.90417372519999994"/>
    <n v="0.99934990680000002"/>
    <n v="0.77"/>
    <n v="0.73149999999999993"/>
    <n v="0.76807499999999995"/>
  </r>
  <r>
    <x v="12"/>
    <s v="animal"/>
    <s v="T"/>
    <x v="0"/>
    <s v="F"/>
    <n v="0"/>
    <n v="1"/>
    <n v="0"/>
    <n v="0"/>
    <n v="1"/>
    <n v="0"/>
    <n v="0"/>
    <n v="0"/>
    <n v="0.96578520322974404"/>
    <n v="0.94929975751542295"/>
    <n v="0.98498861542340899"/>
    <n v="0"/>
    <n v="0"/>
    <n v="0"/>
  </r>
  <r>
    <x v="13"/>
    <s v="plant"/>
    <s v="T"/>
    <x v="0"/>
    <s v="F"/>
    <n v="0.13"/>
    <n v="0.02"/>
    <n v="0.83000000000000007"/>
    <n v="0.02"/>
    <n v="1"/>
    <n v="0.9"/>
    <n v="0.84599999999999997"/>
    <n v="0.89676"/>
    <n v="0.95176181599999998"/>
    <n v="0.90417372519999994"/>
    <n v="0.99934990680000002"/>
    <n v="0.8"/>
    <n v="0.76"/>
    <n v="0.79800000000000004"/>
  </r>
  <r>
    <x v="14"/>
    <s v="plant"/>
    <s v="T"/>
    <x v="0"/>
    <s v="F"/>
    <n v="0.76600000000000001"/>
    <n v="7.3999999999999996E-2"/>
    <n v="0.15300000000000002"/>
    <n v="7.0000000000000001E-3"/>
    <n v="1"/>
    <n v="0.89"/>
    <n v="0.83660000000000001"/>
    <n v="0.88679600000000003"/>
    <n v="0.95176181599999998"/>
    <n v="0.90417372519999994"/>
    <n v="0.99934990680000002"/>
    <n v="0.75"/>
    <n v="0.71249999999999991"/>
    <n v="0.74812499999999993"/>
  </r>
  <r>
    <x v="15"/>
    <s v="novel"/>
    <s v="F"/>
    <x v="0"/>
    <s v="T"/>
    <n v="0.53500000000000003"/>
    <n v="0.224"/>
    <n v="0.11099999999999999"/>
    <n v="0.13"/>
    <n v="1"/>
    <n v="0.86264614774680892"/>
    <n v="0.71937060515209228"/>
    <n v="0.9363167126299663"/>
    <n v="0.93"/>
    <n v="0.88349999999999995"/>
    <n v="0.97650000000000015"/>
    <n v="0.41000000000000003"/>
    <n v="0.38950000000000001"/>
    <n v="0.40897500000000003"/>
  </r>
  <r>
    <x v="16"/>
    <s v="plant"/>
    <s v="F"/>
    <x v="0"/>
    <s v="T"/>
    <n v="0.32700000000000001"/>
    <n v="0.13"/>
    <n v="0.46672719298245613"/>
    <n v="7.6272807017543895E-2"/>
    <n v="1"/>
    <n v="0.91108708069547573"/>
    <n v="0.88845319139472811"/>
    <n v="0.93104235892070819"/>
    <n v="0.93"/>
    <n v="0.88349999999999995"/>
    <n v="0.97650000000000015"/>
    <n v="0.68600000000000005"/>
    <n v="0.65170000000000006"/>
    <n v="0.68428500000000014"/>
  </r>
  <r>
    <x v="17"/>
    <s v="animal"/>
    <s v="T"/>
    <x v="0"/>
    <s v="T"/>
    <n v="0.86849038461538397"/>
    <n v="6.7799419E-2"/>
    <n v="1.3710196384616014E-2"/>
    <n v="0.05"/>
    <n v="1"/>
    <n v="0.86596964644311503"/>
    <n v="0.75831666847301604"/>
    <n v="0.94739830238765299"/>
    <n v="0.93708838073277401"/>
    <n v="0.87281262552261096"/>
    <n v="0.97951322885623004"/>
    <n v="0.78"/>
    <n v="0.74099999999999999"/>
    <n v="0.77805000000000002"/>
  </r>
  <r>
    <x v="18"/>
    <s v="marine"/>
    <s v="T"/>
    <x v="0"/>
    <s v="T"/>
    <n v="0.55099999999999993"/>
    <n v="0.2692252"/>
    <n v="4.08748000000001E-2"/>
    <n v="0.1389"/>
    <n v="1"/>
    <n v="0.877686516894431"/>
    <n v="0.86929340553071399"/>
    <n v="0.88552039033038199"/>
    <n v="0.95114829052565797"/>
    <n v="0.93888547813119905"/>
    <n v="0.95743188023568604"/>
    <n v="0.59399999999999997"/>
    <n v="0.5292"/>
    <n v="0.65879999999999994"/>
  </r>
  <r>
    <x v="19"/>
    <s v="animal"/>
    <s v="T"/>
    <x v="0"/>
    <s v="T"/>
    <n v="0.53783333333333327"/>
    <n v="0.13249432999999999"/>
    <n v="2.4672336666666794E-2"/>
    <n v="0.30499999999999999"/>
    <n v="1"/>
    <n v="0.83030542718534806"/>
    <n v="0.72499626396843597"/>
    <n v="0.91940803995423603"/>
    <n v="0.93189462648181998"/>
    <n v="0.86627011737210602"/>
    <n v="0.96776157310788602"/>
    <n v="0.68700000000000006"/>
    <n v="0.65265000000000006"/>
    <n v="0.68528250000000013"/>
  </r>
  <r>
    <x v="20"/>
    <s v="animal"/>
    <s v="F"/>
    <x v="0"/>
    <s v="T"/>
    <n v="0.56188888888888899"/>
    <n v="8.6999999999999994E-2"/>
    <n v="0.23711111111111105"/>
    <n v="0.114"/>
    <n v="1"/>
    <n v="0.81159790994043479"/>
    <n v="0.70014233740626763"/>
    <n v="0.93324792899801945"/>
    <n v="0.93"/>
    <n v="0.88349999999999995"/>
    <n v="0.97650000000000015"/>
    <n v="0.68700000000000006"/>
    <n v="0.65265000000000006"/>
    <n v="0.68528250000000013"/>
  </r>
  <r>
    <x v="21"/>
    <s v="animal"/>
    <s v="F"/>
    <x v="0"/>
    <s v="T"/>
    <n v="0.62166666666666659"/>
    <n v="0.122"/>
    <n v="0.14233333333333342"/>
    <n v="0.114"/>
    <n v="1"/>
    <n v="0.78638081783306735"/>
    <n v="0.7121352290987818"/>
    <n v="0.84199992299760551"/>
    <n v="0.93"/>
    <n v="0.88349999999999995"/>
    <n v="0.97650000000000015"/>
    <n v="0.68900000000000006"/>
    <n v="0.65455000000000008"/>
    <n v="0.6872775000000001"/>
  </r>
  <r>
    <x v="22"/>
    <s v="animal"/>
    <s v="T"/>
    <x v="0"/>
    <s v="T"/>
    <n v="0.72292857142857125"/>
    <n v="0.11689690000000001"/>
    <n v="5.4174528571428793E-2"/>
    <n v="0.106"/>
    <n v="1"/>
    <n v="0.86610883281803497"/>
    <n v="0.79747397943132603"/>
    <n v="0.93373585381326696"/>
    <n v="0.94897384021576103"/>
    <n v="0.90071911597065302"/>
    <n v="0.98253169598285695"/>
    <n v="0.68899999999999995"/>
    <n v="0.65454999999999997"/>
    <n v="0.68727749999999999"/>
  </r>
  <r>
    <x v="23"/>
    <s v="animal"/>
    <s v="T"/>
    <x v="0"/>
    <s v="T"/>
    <n v="0.81849999999999989"/>
    <n v="0.14486250000000001"/>
    <n v="6.6375000000000739E-3"/>
    <n v="0.03"/>
    <n v="1"/>
    <n v="0.88381879361953897"/>
    <n v="0.87650883500487797"/>
    <n v="0.88785013351798403"/>
    <n v="0.96578520322974404"/>
    <n v="0.94929975751542295"/>
    <n v="0.98498861542340899"/>
    <n v="0.88000000000000012"/>
    <n v="0.83600000000000008"/>
    <n v="0.87780000000000014"/>
  </r>
  <r>
    <x v="24"/>
    <s v="novel"/>
    <s v="F"/>
    <x v="0"/>
    <s v="T"/>
    <n v="0.75900000000000001"/>
    <n v="0.10100000000000001"/>
    <n v="0"/>
    <n v="0.14000000000000001"/>
    <n v="1"/>
    <n v="0.94144621422710895"/>
    <n v="0.92915488186404305"/>
    <n v="0.95038279881441345"/>
    <n v="0.93"/>
    <n v="0.88349999999999995"/>
    <n v="0.97650000000000015"/>
    <n v="0.68000000000000016"/>
    <n v="0.64600000000000013"/>
    <n v="0.67830000000000013"/>
  </r>
  <r>
    <x v="25"/>
    <s v="plant"/>
    <s v="F"/>
    <x v="0"/>
    <s v="T"/>
    <n v="0.65300000000000002"/>
    <n v="0.02"/>
    <n v="0.2569999999999999"/>
    <n v="7.0000000000000007E-2"/>
    <n v="1"/>
    <n v="0.8937733673883973"/>
    <n v="0.88807945048616632"/>
    <n v="0.89967859362798408"/>
    <n v="0.93"/>
    <n v="0.88349999999999995"/>
    <n v="0.97650000000000015"/>
    <n v="0.82"/>
    <n v="0.77899999999999991"/>
    <n v="0.81794999999999995"/>
  </r>
  <r>
    <x v="26"/>
    <s v="plant"/>
    <s v="T"/>
    <x v="0"/>
    <s v="T"/>
    <n v="0.66174999999999995"/>
    <n v="1.126924E-2"/>
    <n v="0.25398076000000014"/>
    <n v="7.2999999999999995E-2"/>
    <n v="1"/>
    <n v="0.87600843567991205"/>
    <n v="0.82061188906613203"/>
    <n v="0.92710478819527697"/>
    <n v="0.95176181599999998"/>
    <n v="0.90417372519999994"/>
    <n v="0.99934990680000002"/>
    <n v="0.875"/>
    <n v="0.83124999999999993"/>
    <n v="0.8728124999999999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9BFEF1C-3877-4974-B792-0D846C532E8F}" name="PivotTable1" cacheId="0" applyNumberFormats="0" applyBorderFormats="0" applyFontFormats="0" applyPatternFormats="0" applyAlignmentFormats="0" applyWidthHeightFormats="1" dataCaption="Values" updatedVersion="8" minRefreshableVersion="3" useAutoFormatting="1" rowGrandTotals="0" itemPrintTitles="1" createdVersion="8" indent="0" outline="1" outlineData="1" multipleFieldFilters="0">
  <location ref="B3:H30" firstHeaderRow="0" firstDataRow="1" firstDataCol="1"/>
  <pivotFields count="19">
    <pivotField axis="axisRow" showAll="0" nonAutoSortDefault="1">
      <items count="28">
        <item x="0"/>
        <item x="1"/>
        <item x="15"/>
        <item x="16"/>
        <item x="2"/>
        <item x="17"/>
        <item x="3"/>
        <item x="4"/>
        <item x="5"/>
        <item x="6"/>
        <item x="7"/>
        <item x="8"/>
        <item x="18"/>
        <item x="19"/>
        <item x="20"/>
        <item x="10"/>
        <item x="21"/>
        <item x="11"/>
        <item x="22"/>
        <item x="12"/>
        <item x="23"/>
        <item x="24"/>
        <item x="25"/>
        <item x="26"/>
        <item x="13"/>
        <item x="14"/>
        <item x="9"/>
        <item t="default"/>
      </items>
    </pivotField>
    <pivotField showAll="0"/>
    <pivotField showAll="0"/>
    <pivotField showAll="0">
      <items count="2">
        <item x="0"/>
        <item t="default"/>
      </items>
    </pivotField>
    <pivotField showAll="0"/>
    <pivotField dataField="1" showAll="0"/>
    <pivotField dataField="1" showAll="0"/>
    <pivotField dataField="1" showAll="0"/>
    <pivotField showAll="0"/>
    <pivotField showAll="0"/>
    <pivotField dataField="1" showAll="0"/>
    <pivotField showAll="0"/>
    <pivotField showAll="0"/>
    <pivotField dataField="1" showAll="0"/>
    <pivotField showAll="0"/>
    <pivotField showAll="0"/>
    <pivotField dataField="1" showAll="0"/>
    <pivotField showAll="0"/>
    <pivotField showAll="0"/>
  </pivotFields>
  <rowFields count="1">
    <field x="0"/>
  </rowFields>
  <rowItems count="2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dataFields count="6">
    <dataField name="Sum of protein" fld="5" baseField="0" baseItem="0"/>
    <dataField name="Sum of mean_protein_digestibility" fld="10" baseField="0" baseItem="0"/>
    <dataField name="Sum of lipid" fld="6" baseField="0" baseItem="0"/>
    <dataField name="Sum of mean_lipid_digestibility" fld="13" baseField="0" baseItem="0"/>
    <dataField name="Sum of carb" fld="7" baseField="0" baseItem="0"/>
    <dataField name="Sum of mean_carb_digestibility" fld="16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feedipedia.org/node/11687" TargetMode="External"/><Relationship Id="rId3" Type="http://schemas.openxmlformats.org/officeDocument/2006/relationships/hyperlink" Target="https://www.feedipedia.org/node/12663" TargetMode="External"/><Relationship Id="rId7" Type="http://schemas.openxmlformats.org/officeDocument/2006/relationships/hyperlink" Target="https://www.feedipedia.org/node/11685" TargetMode="External"/><Relationship Id="rId2" Type="http://schemas.openxmlformats.org/officeDocument/2006/relationships/hyperlink" Target="https://www.feedipedia.org/node/12806" TargetMode="External"/><Relationship Id="rId1" Type="http://schemas.openxmlformats.org/officeDocument/2006/relationships/hyperlink" Target="https://www.feedipedia.org/node/527" TargetMode="External"/><Relationship Id="rId6" Type="http://schemas.openxmlformats.org/officeDocument/2006/relationships/hyperlink" Target="https://www.feedipedia.org/node/11574" TargetMode="External"/><Relationship Id="rId5" Type="http://schemas.openxmlformats.org/officeDocument/2006/relationships/hyperlink" Target="https://www.feedipedia.org/node/11683" TargetMode="External"/><Relationship Id="rId4" Type="http://schemas.openxmlformats.org/officeDocument/2006/relationships/hyperlink" Target="https://www.feedipedia.org/node/67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B86C80-6855-4296-9746-1E92B0D65FFA}">
  <dimension ref="A1:S34"/>
  <sheetViews>
    <sheetView zoomScaleNormal="100" workbookViewId="0">
      <pane xSplit="1" topLeftCell="G1" activePane="topRight" state="frozen"/>
      <selection pane="topRight" activeCell="M5" sqref="L5:M5"/>
    </sheetView>
  </sheetViews>
  <sheetFormatPr defaultRowHeight="14.4" x14ac:dyDescent="0.3"/>
  <cols>
    <col min="1" max="1" width="24.21875" bestFit="1" customWidth="1"/>
    <col min="2" max="2" width="6.6640625" bestFit="1" customWidth="1"/>
    <col min="3" max="3" width="8.33203125" bestFit="1" customWidth="1"/>
    <col min="4" max="4" width="19.6640625" customWidth="1"/>
    <col min="5" max="5" width="10.33203125" bestFit="1" customWidth="1"/>
    <col min="6" max="9" width="12" bestFit="1" customWidth="1"/>
    <col min="10" max="10" width="13" bestFit="1" customWidth="1"/>
    <col min="11" max="19" width="12.88671875" customWidth="1"/>
  </cols>
  <sheetData>
    <row r="1" spans="1:19" s="2" customFormat="1" ht="28.8" x14ac:dyDescent="0.3">
      <c r="A1" s="2" t="s">
        <v>0</v>
      </c>
      <c r="B1" s="2" t="s">
        <v>71</v>
      </c>
      <c r="C1" s="2" t="s">
        <v>67</v>
      </c>
      <c r="D1" s="2" t="s">
        <v>86</v>
      </c>
      <c r="E1" s="2" t="s">
        <v>102</v>
      </c>
      <c r="F1" s="2" t="s">
        <v>43</v>
      </c>
      <c r="G1" s="2" t="s">
        <v>44</v>
      </c>
      <c r="H1" s="2" t="s">
        <v>46</v>
      </c>
      <c r="I1" s="2" t="s">
        <v>45</v>
      </c>
      <c r="J1" s="2" t="s">
        <v>76</v>
      </c>
      <c r="K1" s="2" t="s">
        <v>40</v>
      </c>
      <c r="L1" s="2" t="s">
        <v>34</v>
      </c>
      <c r="M1" s="2" t="s">
        <v>35</v>
      </c>
      <c r="N1" s="2" t="s">
        <v>41</v>
      </c>
      <c r="O1" s="2" t="s">
        <v>36</v>
      </c>
      <c r="P1" s="2" t="s">
        <v>37</v>
      </c>
      <c r="Q1" s="2" t="s">
        <v>42</v>
      </c>
      <c r="R1" s="2" t="s">
        <v>38</v>
      </c>
      <c r="S1" s="2" t="s">
        <v>39</v>
      </c>
    </row>
    <row r="2" spans="1:19" x14ac:dyDescent="0.3">
      <c r="A2" t="s">
        <v>1</v>
      </c>
      <c r="B2" t="s">
        <v>72</v>
      </c>
      <c r="C2" t="s">
        <v>69</v>
      </c>
      <c r="D2" t="s">
        <v>68</v>
      </c>
      <c r="E2" t="s">
        <v>68</v>
      </c>
      <c r="F2" s="9">
        <v>0.53500000000000003</v>
      </c>
      <c r="G2" s="9">
        <v>0.224</v>
      </c>
      <c r="H2" s="10">
        <f>1-SUM(F2:G2,I2)</f>
        <v>0.11099999999999999</v>
      </c>
      <c r="I2" s="8">
        <v>0.13</v>
      </c>
      <c r="J2" s="12">
        <f>SUM(F2:I2)</f>
        <v>1</v>
      </c>
      <c r="K2" s="9">
        <v>0.81859999999999999</v>
      </c>
      <c r="L2" s="9">
        <v>0.71939999999999993</v>
      </c>
      <c r="M2" s="9">
        <v>0.88099999999999989</v>
      </c>
      <c r="N2" s="9">
        <v>0.95640000000000003</v>
      </c>
      <c r="O2" s="9">
        <v>0.9466</v>
      </c>
      <c r="P2" s="9">
        <v>0.96530000000000005</v>
      </c>
      <c r="Q2" s="8">
        <v>0.41000000000000003</v>
      </c>
      <c r="R2" s="10">
        <f>Q2*0.95</f>
        <v>0.38950000000000001</v>
      </c>
      <c r="S2" s="10">
        <f>R2*1.05</f>
        <v>0.40897500000000003</v>
      </c>
    </row>
    <row r="3" spans="1:19" x14ac:dyDescent="0.3">
      <c r="A3" t="s">
        <v>2</v>
      </c>
      <c r="B3" t="s">
        <v>73</v>
      </c>
      <c r="C3" t="s">
        <v>69</v>
      </c>
      <c r="D3" t="s">
        <v>68</v>
      </c>
      <c r="E3" t="s">
        <v>68</v>
      </c>
      <c r="F3" s="9">
        <v>0.32700000000000001</v>
      </c>
      <c r="G3" s="9">
        <v>0.13</v>
      </c>
      <c r="H3" s="10">
        <f>1-SUM(F3:G3,I3)</f>
        <v>0.46672719298245613</v>
      </c>
      <c r="I3" s="11">
        <v>7.6272807017543895E-2</v>
      </c>
      <c r="J3" s="12">
        <f>SUM(F3:I3)</f>
        <v>1</v>
      </c>
      <c r="K3" s="9">
        <v>0.91110000000000002</v>
      </c>
      <c r="L3" s="9">
        <v>0.88849999999999996</v>
      </c>
      <c r="M3" s="9">
        <v>0.93099999999999994</v>
      </c>
      <c r="N3" s="9">
        <v>0.94319999999999993</v>
      </c>
      <c r="O3" s="9">
        <v>0.91969999999999996</v>
      </c>
      <c r="P3" s="9">
        <v>0.9667</v>
      </c>
      <c r="Q3" s="8">
        <v>0.68600000000000005</v>
      </c>
      <c r="R3" s="10">
        <f>Q3*0.95</f>
        <v>0.65170000000000006</v>
      </c>
      <c r="S3" s="10">
        <f>R3*1.05</f>
        <v>0.68428500000000014</v>
      </c>
    </row>
    <row r="4" spans="1:19" x14ac:dyDescent="0.3">
      <c r="A4" t="s">
        <v>7</v>
      </c>
      <c r="B4" t="s">
        <v>75</v>
      </c>
      <c r="C4" t="s">
        <v>68</v>
      </c>
      <c r="D4" t="s">
        <v>68</v>
      </c>
      <c r="E4" t="s">
        <v>68</v>
      </c>
      <c r="F4" s="9">
        <v>0.86849038461538397</v>
      </c>
      <c r="G4" s="9">
        <f>6.7799419/100</f>
        <v>6.7799419E-2</v>
      </c>
      <c r="H4" s="10">
        <f>1-SUM(F4:G4,I4)</f>
        <v>1.3710196384616014E-2</v>
      </c>
      <c r="I4" s="8">
        <f>5/100</f>
        <v>0.05</v>
      </c>
      <c r="J4" s="12">
        <f>SUM(F4:I4)</f>
        <v>1</v>
      </c>
      <c r="K4" s="9">
        <v>0.86599999999999999</v>
      </c>
      <c r="L4" s="9">
        <v>0.75829999999999997</v>
      </c>
      <c r="M4" s="9">
        <v>0.94739999999999991</v>
      </c>
      <c r="N4" s="9">
        <v>0.93709999999999993</v>
      </c>
      <c r="O4" s="9">
        <v>0.87280000000000002</v>
      </c>
      <c r="P4" s="9">
        <v>0.97950000000000004</v>
      </c>
      <c r="Q4" s="8">
        <v>0.78</v>
      </c>
      <c r="R4" s="10">
        <f>Q4*0.95</f>
        <v>0.74099999999999999</v>
      </c>
      <c r="S4" s="10">
        <f>R4*1.05</f>
        <v>0.77805000000000002</v>
      </c>
    </row>
    <row r="5" spans="1:19" x14ac:dyDescent="0.3">
      <c r="A5" t="s">
        <v>8</v>
      </c>
      <c r="B5" t="s">
        <v>74</v>
      </c>
      <c r="C5" t="s">
        <v>68</v>
      </c>
      <c r="D5" t="s">
        <v>68</v>
      </c>
      <c r="E5" t="s">
        <v>68</v>
      </c>
      <c r="F5" s="9">
        <v>0.73424999999999996</v>
      </c>
      <c r="G5" s="9">
        <v>8.3000000000000004E-2</v>
      </c>
      <c r="H5" s="10">
        <f>1-SUM(F5:G5,I5)</f>
        <v>4.3750000000000067E-2</v>
      </c>
      <c r="I5" s="8">
        <f>13.9/100</f>
        <v>0.13900000000000001</v>
      </c>
      <c r="J5" s="12">
        <f>SUM(F5:I5)</f>
        <v>1</v>
      </c>
      <c r="K5" s="9">
        <v>0.87980000000000003</v>
      </c>
      <c r="L5" s="9">
        <v>0.82969999999999999</v>
      </c>
      <c r="M5" s="9">
        <v>0.92209999999999992</v>
      </c>
      <c r="N5" s="9">
        <v>0.95669999999999999</v>
      </c>
      <c r="O5" s="9">
        <v>0.8993000000000001</v>
      </c>
      <c r="P5" s="9">
        <v>0.99199999999999999</v>
      </c>
      <c r="Q5" s="8">
        <f>83.3/100</f>
        <v>0.83299999999999996</v>
      </c>
      <c r="R5" s="8">
        <f>74.5/100</f>
        <v>0.745</v>
      </c>
      <c r="S5" s="8">
        <f>92.6/100</f>
        <v>0.92599999999999993</v>
      </c>
    </row>
    <row r="6" spans="1:19" x14ac:dyDescent="0.3">
      <c r="A6" t="s">
        <v>9</v>
      </c>
      <c r="B6" t="s">
        <v>74</v>
      </c>
      <c r="C6" t="s">
        <v>68</v>
      </c>
      <c r="D6" t="s">
        <v>68</v>
      </c>
      <c r="E6" t="s">
        <v>68</v>
      </c>
      <c r="F6" s="9">
        <v>0.73424999999999996</v>
      </c>
      <c r="G6" s="9">
        <v>8.3000000000000004E-2</v>
      </c>
      <c r="H6" s="10">
        <f>1-SUM(F6:G6,I6)</f>
        <v>4.3750000000000067E-2</v>
      </c>
      <c r="I6" s="8">
        <f>13.9/100</f>
        <v>0.13900000000000001</v>
      </c>
      <c r="J6" s="12">
        <f>SUM(F6:I6)</f>
        <v>1</v>
      </c>
      <c r="K6" s="9">
        <v>0.87980000000000003</v>
      </c>
      <c r="L6" s="9">
        <v>0.82969999999999999</v>
      </c>
      <c r="M6" s="9">
        <v>0.92209999999999992</v>
      </c>
      <c r="N6" s="9">
        <v>0.95669999999999999</v>
      </c>
      <c r="O6" s="9">
        <v>0.8993000000000001</v>
      </c>
      <c r="P6" s="9">
        <v>0.99199999999999999</v>
      </c>
      <c r="Q6" s="8">
        <f>81.7/100</f>
        <v>0.81700000000000006</v>
      </c>
      <c r="R6" s="8">
        <f>71.8/100</f>
        <v>0.71799999999999997</v>
      </c>
      <c r="S6" s="8">
        <f>91.6/100</f>
        <v>0.91599999999999993</v>
      </c>
    </row>
    <row r="7" spans="1:19" x14ac:dyDescent="0.3">
      <c r="A7" t="s">
        <v>141</v>
      </c>
      <c r="B7" t="s">
        <v>72</v>
      </c>
      <c r="C7" t="s">
        <v>69</v>
      </c>
      <c r="D7" t="s">
        <v>69</v>
      </c>
      <c r="E7" t="s">
        <v>68</v>
      </c>
      <c r="F7" s="9">
        <v>0.58399999999999996</v>
      </c>
      <c r="G7" s="9">
        <v>0.17899999999999999</v>
      </c>
      <c r="H7" s="10">
        <f>1-SUM(F7:G7,I7)</f>
        <v>0.1070000000000001</v>
      </c>
      <c r="I7" s="8">
        <v>0.13</v>
      </c>
      <c r="J7" s="12">
        <f>SUM(F7:I7)</f>
        <v>1</v>
      </c>
      <c r="K7" s="9">
        <v>0.88470000000000004</v>
      </c>
      <c r="L7" s="9">
        <v>0.84920000000000007</v>
      </c>
      <c r="M7" s="9">
        <v>0.93629999999999991</v>
      </c>
      <c r="N7" s="9">
        <v>0.9466</v>
      </c>
      <c r="O7" s="9">
        <v>0.91510000000000002</v>
      </c>
      <c r="P7" s="9">
        <v>0.97360000000000002</v>
      </c>
      <c r="Q7" s="8">
        <v>0.41000000000000003</v>
      </c>
      <c r="R7" s="10">
        <f>Q7*0.95</f>
        <v>0.38950000000000001</v>
      </c>
      <c r="S7" s="10">
        <f>R7*1.05</f>
        <v>0.40897500000000003</v>
      </c>
    </row>
    <row r="8" spans="1:19" x14ac:dyDescent="0.3">
      <c r="A8" t="s">
        <v>14</v>
      </c>
      <c r="B8" t="s">
        <v>74</v>
      </c>
      <c r="C8" t="s">
        <v>68</v>
      </c>
      <c r="D8" t="s">
        <v>68</v>
      </c>
      <c r="E8" t="s">
        <v>68</v>
      </c>
      <c r="F8" s="9">
        <v>0.55099999999999993</v>
      </c>
      <c r="G8" s="9">
        <f>26.92252/100</f>
        <v>0.2692252</v>
      </c>
      <c r="H8" s="10">
        <f>1-SUM(F8:G8,I8)</f>
        <v>4.08748000000001E-2</v>
      </c>
      <c r="I8" s="8">
        <f>13.89/100</f>
        <v>0.1389</v>
      </c>
      <c r="J8" s="12">
        <f>SUM(F8:I8)</f>
        <v>1</v>
      </c>
      <c r="K8" s="9">
        <v>0.87769999999999992</v>
      </c>
      <c r="L8" s="9">
        <v>0.86930000000000007</v>
      </c>
      <c r="M8" s="9">
        <v>0.88549999999999995</v>
      </c>
      <c r="N8" s="9">
        <v>0.95109999999999995</v>
      </c>
      <c r="O8" s="9">
        <v>0.93889999999999996</v>
      </c>
      <c r="P8" s="9">
        <v>0.95739999999999992</v>
      </c>
      <c r="Q8" s="8">
        <v>0.59399999999999997</v>
      </c>
      <c r="R8" s="8">
        <f>Q8-3*(2.16/100)</f>
        <v>0.5292</v>
      </c>
      <c r="S8" s="8">
        <f>Q8+3*(2.16/100)</f>
        <v>0.65879999999999994</v>
      </c>
    </row>
    <row r="9" spans="1:19" x14ac:dyDescent="0.3">
      <c r="A9" t="s">
        <v>16</v>
      </c>
      <c r="B9" t="s">
        <v>75</v>
      </c>
      <c r="C9" t="s">
        <v>68</v>
      </c>
      <c r="D9" t="s">
        <v>68</v>
      </c>
      <c r="E9" t="s">
        <v>68</v>
      </c>
      <c r="F9" s="9">
        <v>0.53783333333333327</v>
      </c>
      <c r="G9" s="9">
        <f>13.249433/100</f>
        <v>0.13249432999999999</v>
      </c>
      <c r="H9" s="10">
        <f>1-SUM(F9:G9,I9)</f>
        <v>2.4672336666666794E-2</v>
      </c>
      <c r="I9" s="8">
        <v>0.30499999999999999</v>
      </c>
      <c r="J9" s="12">
        <f>SUM(F9:I9)</f>
        <v>1</v>
      </c>
      <c r="K9" s="9">
        <v>0.83030000000000004</v>
      </c>
      <c r="L9" s="9">
        <v>0.72499999999999998</v>
      </c>
      <c r="M9" s="9">
        <v>0.9194</v>
      </c>
      <c r="N9" s="9">
        <v>0.93189999999999995</v>
      </c>
      <c r="O9" s="9">
        <v>0.86629999999999996</v>
      </c>
      <c r="P9" s="9">
        <v>0.96779999999999999</v>
      </c>
      <c r="Q9" s="8">
        <v>0.68700000000000006</v>
      </c>
      <c r="R9" s="13">
        <f>Q9*0.95</f>
        <v>0.65265000000000006</v>
      </c>
      <c r="S9" s="13">
        <f>R9*1.05</f>
        <v>0.68528250000000013</v>
      </c>
    </row>
    <row r="10" spans="1:19" x14ac:dyDescent="0.3">
      <c r="A10" t="s">
        <v>66</v>
      </c>
      <c r="B10" t="s">
        <v>75</v>
      </c>
      <c r="C10" t="s">
        <v>69</v>
      </c>
      <c r="D10" t="s">
        <v>68</v>
      </c>
      <c r="E10" t="s">
        <v>68</v>
      </c>
      <c r="F10" s="9">
        <v>0.56188888888888899</v>
      </c>
      <c r="G10" s="9">
        <v>8.6999999999999994E-2</v>
      </c>
      <c r="H10" s="10">
        <f>1-SUM(F10:G10,I10)</f>
        <v>0.23711111111111105</v>
      </c>
      <c r="I10" s="11">
        <v>0.114</v>
      </c>
      <c r="J10" s="12">
        <f>SUM(F10:I10)</f>
        <v>1</v>
      </c>
      <c r="K10" s="9">
        <v>0.81159999999999999</v>
      </c>
      <c r="L10" s="9">
        <v>0.70010000000000006</v>
      </c>
      <c r="M10" s="9">
        <v>0.93319999999999992</v>
      </c>
      <c r="N10" s="9">
        <v>0.95489999999999997</v>
      </c>
      <c r="O10" s="9">
        <v>0.90229999999999999</v>
      </c>
      <c r="P10" s="9">
        <v>0.98790000000000011</v>
      </c>
      <c r="Q10" s="8">
        <v>0.68700000000000006</v>
      </c>
      <c r="R10" s="13">
        <f>Q10*0.95</f>
        <v>0.65265000000000006</v>
      </c>
      <c r="S10" s="13">
        <f>R10*1.05</f>
        <v>0.68528250000000013</v>
      </c>
    </row>
    <row r="11" spans="1:19" x14ac:dyDescent="0.3">
      <c r="A11" t="s">
        <v>18</v>
      </c>
      <c r="B11" t="s">
        <v>75</v>
      </c>
      <c r="C11" t="s">
        <v>69</v>
      </c>
      <c r="D11" t="s">
        <v>68</v>
      </c>
      <c r="E11" t="s">
        <v>68</v>
      </c>
      <c r="F11" s="9">
        <v>0.62166666666666659</v>
      </c>
      <c r="G11" s="9">
        <v>0.122</v>
      </c>
      <c r="H11" s="10">
        <f>1-SUM(F11:G11,I11)</f>
        <v>0.14233333333333342</v>
      </c>
      <c r="I11" s="11">
        <v>0.114</v>
      </c>
      <c r="J11" s="12">
        <f>SUM(F11:I11)</f>
        <v>1</v>
      </c>
      <c r="K11" s="9">
        <v>0.78639999999999999</v>
      </c>
      <c r="L11" s="9">
        <v>0.71209999999999996</v>
      </c>
      <c r="M11" s="9">
        <v>0.84200000000000008</v>
      </c>
      <c r="N11" s="9">
        <v>0.9325</v>
      </c>
      <c r="O11" s="9">
        <v>0.91139999999999999</v>
      </c>
      <c r="P11" s="9">
        <v>0.94950000000000001</v>
      </c>
      <c r="Q11" s="8">
        <v>0.68900000000000006</v>
      </c>
      <c r="R11" s="13">
        <f>Q11*0.95</f>
        <v>0.65455000000000008</v>
      </c>
      <c r="S11" s="13">
        <f>R11*1.05</f>
        <v>0.6872775000000001</v>
      </c>
    </row>
    <row r="12" spans="1:19" x14ac:dyDescent="0.3">
      <c r="A12" t="s">
        <v>21</v>
      </c>
      <c r="B12" t="s">
        <v>75</v>
      </c>
      <c r="C12" t="s">
        <v>68</v>
      </c>
      <c r="D12" t="s">
        <v>68</v>
      </c>
      <c r="E12" t="s">
        <v>68</v>
      </c>
      <c r="F12" s="9">
        <v>0.72292857142857125</v>
      </c>
      <c r="G12" s="9">
        <f>11.68969/100</f>
        <v>0.11689690000000001</v>
      </c>
      <c r="H12" s="10">
        <f>1-SUM(F12:G12,I12)</f>
        <v>5.4174528571428793E-2</v>
      </c>
      <c r="I12" s="8">
        <v>0.106</v>
      </c>
      <c r="J12" s="12">
        <f>SUM(F12:I12)</f>
        <v>1</v>
      </c>
      <c r="K12" s="9">
        <v>0.86609999999999998</v>
      </c>
      <c r="L12" s="9">
        <v>0.79749999999999999</v>
      </c>
      <c r="M12" s="9">
        <v>0.93370000000000009</v>
      </c>
      <c r="N12" s="9">
        <v>0.94900000000000007</v>
      </c>
      <c r="O12" s="9">
        <v>0.90069999999999995</v>
      </c>
      <c r="P12" s="9">
        <v>0.98250000000000004</v>
      </c>
      <c r="Q12" s="8">
        <v>0.68899999999999995</v>
      </c>
      <c r="R12" s="13">
        <f>Q12*0.95</f>
        <v>0.65454999999999997</v>
      </c>
      <c r="S12" s="13">
        <f>R12*1.05</f>
        <v>0.68727749999999999</v>
      </c>
    </row>
    <row r="13" spans="1:19" x14ac:dyDescent="0.3">
      <c r="A13" t="s">
        <v>52</v>
      </c>
      <c r="B13" t="s">
        <v>75</v>
      </c>
      <c r="C13" t="s">
        <v>68</v>
      </c>
      <c r="D13" t="s">
        <v>68</v>
      </c>
      <c r="E13" t="s">
        <v>68</v>
      </c>
      <c r="F13" s="9">
        <f>81.85/100</f>
        <v>0.81849999999999989</v>
      </c>
      <c r="G13" s="9">
        <f>0.1448625</f>
        <v>0.14486250000000001</v>
      </c>
      <c r="H13" s="10">
        <f>1-SUM(F13:G13,I13)</f>
        <v>6.6375000000000739E-3</v>
      </c>
      <c r="I13" s="8">
        <v>0.03</v>
      </c>
      <c r="J13" s="12">
        <f>SUM(F13:I13)</f>
        <v>1</v>
      </c>
      <c r="K13" s="9">
        <v>0.88379999999999992</v>
      </c>
      <c r="L13" s="9">
        <v>0.87650000000000006</v>
      </c>
      <c r="M13" s="9">
        <v>0.88790000000000002</v>
      </c>
      <c r="N13" s="9">
        <v>0.96579999999999999</v>
      </c>
      <c r="O13" s="9">
        <v>0.94930000000000003</v>
      </c>
      <c r="P13" s="9">
        <v>0.98499999999999999</v>
      </c>
      <c r="Q13" s="8">
        <v>0.88000000000000012</v>
      </c>
      <c r="R13" s="13">
        <f>Q13*0.95</f>
        <v>0.83600000000000008</v>
      </c>
      <c r="S13" s="13">
        <f>R13*1.05</f>
        <v>0.87780000000000014</v>
      </c>
    </row>
    <row r="14" spans="1:19" x14ac:dyDescent="0.3">
      <c r="A14" t="s">
        <v>23</v>
      </c>
      <c r="B14" t="s">
        <v>72</v>
      </c>
      <c r="C14" t="s">
        <v>69</v>
      </c>
      <c r="D14" t="s">
        <v>68</v>
      </c>
      <c r="E14" t="s">
        <v>68</v>
      </c>
      <c r="F14" s="9">
        <v>0.75900000000000001</v>
      </c>
      <c r="G14" s="9">
        <v>0.10100000000000001</v>
      </c>
      <c r="H14" s="10">
        <f>1-SUM(F14:G14,I14)</f>
        <v>0</v>
      </c>
      <c r="I14" s="11">
        <v>0.14000000000000001</v>
      </c>
      <c r="J14" s="12">
        <f>SUM(F14:I14)</f>
        <v>1</v>
      </c>
      <c r="K14" s="9">
        <v>0.94140000000000001</v>
      </c>
      <c r="L14" s="9">
        <v>0.92920000000000003</v>
      </c>
      <c r="M14" s="9">
        <v>0.95040000000000002</v>
      </c>
      <c r="N14" s="9">
        <v>0.97010000000000007</v>
      </c>
      <c r="O14" s="9">
        <v>0.96840000000000004</v>
      </c>
      <c r="P14" s="9">
        <v>0.97239999999999993</v>
      </c>
      <c r="Q14" s="8">
        <v>0.68000000000000016</v>
      </c>
      <c r="R14" s="13">
        <f>Q14*0.95</f>
        <v>0.64600000000000013</v>
      </c>
      <c r="S14" s="13">
        <f>R14*1.05</f>
        <v>0.67830000000000013</v>
      </c>
    </row>
    <row r="15" spans="1:19" x14ac:dyDescent="0.3">
      <c r="A15" t="s">
        <v>24</v>
      </c>
      <c r="B15" t="s">
        <v>73</v>
      </c>
      <c r="C15" t="s">
        <v>69</v>
      </c>
      <c r="D15" t="s">
        <v>68</v>
      </c>
      <c r="E15" t="s">
        <v>68</v>
      </c>
      <c r="F15" s="9">
        <v>0.65300000000000002</v>
      </c>
      <c r="G15" s="9">
        <v>0.02</v>
      </c>
      <c r="H15" s="10">
        <f>1-SUM(F15:G15,I15)</f>
        <v>0.2569999999999999</v>
      </c>
      <c r="I15" s="8">
        <v>7.0000000000000007E-2</v>
      </c>
      <c r="J15" s="12">
        <f>SUM(F15:I15)</f>
        <v>1</v>
      </c>
      <c r="K15" s="9">
        <v>0.89379999999999993</v>
      </c>
      <c r="L15" s="9">
        <v>0.8881</v>
      </c>
      <c r="M15" s="9">
        <v>0.89969999999999994</v>
      </c>
      <c r="N15" s="9">
        <v>0.95799999999999996</v>
      </c>
      <c r="O15" s="9">
        <v>0.9323999999999999</v>
      </c>
      <c r="P15" s="9">
        <v>0.97730000000000006</v>
      </c>
      <c r="Q15" s="8">
        <v>0.82</v>
      </c>
      <c r="R15" s="13">
        <f>Q15*0.95</f>
        <v>0.77899999999999991</v>
      </c>
      <c r="S15" s="13">
        <f>R15*1.05</f>
        <v>0.81794999999999995</v>
      </c>
    </row>
    <row r="16" spans="1:19" x14ac:dyDescent="0.3">
      <c r="A16" t="s">
        <v>26</v>
      </c>
      <c r="B16" t="s">
        <v>73</v>
      </c>
      <c r="C16" t="s">
        <v>68</v>
      </c>
      <c r="D16" t="s">
        <v>68</v>
      </c>
      <c r="E16" t="s">
        <v>68</v>
      </c>
      <c r="F16" s="9">
        <v>0.66174999999999995</v>
      </c>
      <c r="G16" s="9">
        <f>1.126924/100</f>
        <v>1.126924E-2</v>
      </c>
      <c r="H16" s="10">
        <f>1-SUM(F16:G16,I16)</f>
        <v>0.25398076000000014</v>
      </c>
      <c r="I16" s="8">
        <v>7.2999999999999995E-2</v>
      </c>
      <c r="J16" s="12">
        <f>SUM(F16:I16)</f>
        <v>1</v>
      </c>
      <c r="K16" s="9">
        <v>0.87599999999999989</v>
      </c>
      <c r="L16" s="9">
        <v>0.8206</v>
      </c>
      <c r="M16" s="9">
        <v>0.92709999999999992</v>
      </c>
      <c r="N16" s="8">
        <v>0.95176181599999998</v>
      </c>
      <c r="O16" s="8">
        <f>N16*0.95</f>
        <v>0.90417372519999994</v>
      </c>
      <c r="P16" s="8">
        <f>N16*1.05</f>
        <v>0.99934990680000002</v>
      </c>
      <c r="Q16" s="8">
        <v>0.875</v>
      </c>
      <c r="R16" s="13">
        <f>Q16*0.95</f>
        <v>0.83124999999999993</v>
      </c>
      <c r="S16" s="13">
        <f>R16*1.05</f>
        <v>0.87281249999999999</v>
      </c>
    </row>
    <row r="17" spans="1:19" x14ac:dyDescent="0.3">
      <c r="A17" t="s">
        <v>47</v>
      </c>
      <c r="B17" t="s">
        <v>72</v>
      </c>
      <c r="C17" t="s">
        <v>68</v>
      </c>
      <c r="D17" t="s">
        <v>68</v>
      </c>
      <c r="E17" t="s">
        <v>69</v>
      </c>
      <c r="F17" s="8">
        <v>0</v>
      </c>
      <c r="G17" s="8">
        <v>1</v>
      </c>
      <c r="H17" s="8">
        <v>0</v>
      </c>
      <c r="I17" s="8">
        <v>0</v>
      </c>
      <c r="J17" s="12">
        <f>SUM(F17:I17)</f>
        <v>1</v>
      </c>
      <c r="K17" s="8">
        <v>0</v>
      </c>
      <c r="L17" s="8">
        <f>K17*0.95</f>
        <v>0</v>
      </c>
      <c r="M17" s="8">
        <f>L17*1.05</f>
        <v>0</v>
      </c>
      <c r="N17" s="8">
        <v>0.95176181599999998</v>
      </c>
      <c r="O17" s="8">
        <f>N17*0.95</f>
        <v>0.90417372519999994</v>
      </c>
      <c r="P17" s="8">
        <f>N17*1.05</f>
        <v>0.99934990680000002</v>
      </c>
      <c r="Q17" s="8">
        <v>0</v>
      </c>
      <c r="R17" s="10">
        <f>Q17*0.95</f>
        <v>0</v>
      </c>
      <c r="S17" s="10">
        <f>R17*1.05</f>
        <v>0</v>
      </c>
    </row>
    <row r="18" spans="1:19" x14ac:dyDescent="0.3">
      <c r="A18" t="s">
        <v>48</v>
      </c>
      <c r="C18" t="s">
        <v>68</v>
      </c>
      <c r="D18" t="s">
        <v>68</v>
      </c>
      <c r="E18" t="s">
        <v>69</v>
      </c>
      <c r="F18" s="8">
        <v>0</v>
      </c>
      <c r="G18" s="8">
        <v>0</v>
      </c>
      <c r="H18" s="8">
        <v>0</v>
      </c>
      <c r="I18" s="8">
        <v>1</v>
      </c>
      <c r="J18" s="12">
        <f>SUM(F18:I18)</f>
        <v>1</v>
      </c>
      <c r="K18" s="8">
        <v>0</v>
      </c>
      <c r="L18" s="8">
        <v>0</v>
      </c>
      <c r="M18" s="8">
        <v>0</v>
      </c>
      <c r="N18" s="8">
        <v>0</v>
      </c>
      <c r="O18" s="8">
        <f>N18*0.95</f>
        <v>0</v>
      </c>
      <c r="P18" s="8">
        <f>N18*1.05</f>
        <v>0</v>
      </c>
      <c r="Q18" s="8">
        <v>0</v>
      </c>
      <c r="R18" s="10">
        <f>Q18*0.95</f>
        <v>0</v>
      </c>
      <c r="S18" s="10">
        <f>R18*1.05</f>
        <v>0</v>
      </c>
    </row>
    <row r="19" spans="1:19" x14ac:dyDescent="0.3">
      <c r="A19" t="s">
        <v>3</v>
      </c>
      <c r="B19" t="s">
        <v>73</v>
      </c>
      <c r="C19" t="s">
        <v>68</v>
      </c>
      <c r="D19" t="s">
        <v>68</v>
      </c>
      <c r="E19" t="s">
        <v>69</v>
      </c>
      <c r="F19" s="8">
        <v>0</v>
      </c>
      <c r="G19" s="8">
        <v>1</v>
      </c>
      <c r="H19" s="8">
        <v>0</v>
      </c>
      <c r="I19" s="8">
        <v>0</v>
      </c>
      <c r="J19" s="12">
        <f>SUM(F19:I19)</f>
        <v>1</v>
      </c>
      <c r="K19" s="8">
        <v>0</v>
      </c>
      <c r="L19" s="8">
        <f>K19*0.95</f>
        <v>0</v>
      </c>
      <c r="M19" s="8">
        <f>L19*1.05</f>
        <v>0</v>
      </c>
      <c r="N19" s="8">
        <v>0.95176181599999998</v>
      </c>
      <c r="O19" s="8">
        <f>N19*0.95</f>
        <v>0.90417372519999994</v>
      </c>
      <c r="P19" s="8">
        <f>N19*1.05</f>
        <v>0.99934990680000002</v>
      </c>
      <c r="Q19" s="8">
        <v>0</v>
      </c>
      <c r="R19" s="10">
        <f>Q19*0.95</f>
        <v>0</v>
      </c>
      <c r="S19" s="10">
        <f>R19*1.05</f>
        <v>0</v>
      </c>
    </row>
    <row r="20" spans="1:19" x14ac:dyDescent="0.3">
      <c r="A20" t="s">
        <v>10</v>
      </c>
      <c r="B20" t="s">
        <v>74</v>
      </c>
      <c r="C20" t="s">
        <v>68</v>
      </c>
      <c r="D20" t="s">
        <v>68</v>
      </c>
      <c r="E20" t="s">
        <v>69</v>
      </c>
      <c r="F20" s="8">
        <v>0</v>
      </c>
      <c r="G20" s="8">
        <v>1</v>
      </c>
      <c r="H20" s="8">
        <v>0</v>
      </c>
      <c r="I20" s="8">
        <v>0</v>
      </c>
      <c r="J20" s="12">
        <f>SUM(F20:I20)</f>
        <v>1</v>
      </c>
      <c r="K20" s="8">
        <v>0</v>
      </c>
      <c r="L20" s="8">
        <f>K20*0.95</f>
        <v>0</v>
      </c>
      <c r="M20" s="8">
        <f>L20*1.05</f>
        <v>0</v>
      </c>
      <c r="N20" s="9">
        <v>0.95669999999999999</v>
      </c>
      <c r="O20" s="9">
        <v>0.8993000000000001</v>
      </c>
      <c r="P20" s="9">
        <v>0.99199999999999999</v>
      </c>
      <c r="Q20" s="8">
        <v>0</v>
      </c>
      <c r="R20" s="10">
        <f>Q20*0.95</f>
        <v>0</v>
      </c>
      <c r="S20" s="10">
        <f>R20*1.05</f>
        <v>0</v>
      </c>
    </row>
    <row r="21" spans="1:19" x14ac:dyDescent="0.3">
      <c r="A21" t="s">
        <v>11</v>
      </c>
      <c r="B21" t="s">
        <v>74</v>
      </c>
      <c r="C21" t="s">
        <v>68</v>
      </c>
      <c r="D21" t="s">
        <v>68</v>
      </c>
      <c r="E21" t="s">
        <v>69</v>
      </c>
      <c r="F21" s="8">
        <v>0</v>
      </c>
      <c r="G21" s="8">
        <v>1</v>
      </c>
      <c r="H21" s="8">
        <v>0</v>
      </c>
      <c r="I21" s="8">
        <v>0</v>
      </c>
      <c r="J21" s="12">
        <f>SUM(F21:I21)</f>
        <v>1</v>
      </c>
      <c r="K21" s="8">
        <v>0</v>
      </c>
      <c r="L21" s="8">
        <f>K21*0.95</f>
        <v>0</v>
      </c>
      <c r="M21" s="8">
        <f>L21*1.05</f>
        <v>0</v>
      </c>
      <c r="N21" s="9">
        <v>0.95669999999999999</v>
      </c>
      <c r="O21" s="9">
        <v>0.8993000000000001</v>
      </c>
      <c r="P21" s="9">
        <v>0.99199999999999999</v>
      </c>
      <c r="Q21" s="8">
        <v>0</v>
      </c>
      <c r="R21" s="10">
        <f>Q21*0.95</f>
        <v>0</v>
      </c>
      <c r="S21" s="10">
        <f>R21*1.05</f>
        <v>0</v>
      </c>
    </row>
    <row r="22" spans="1:19" x14ac:dyDescent="0.3">
      <c r="A22" t="s">
        <v>12</v>
      </c>
      <c r="B22" t="s">
        <v>73</v>
      </c>
      <c r="C22" t="s">
        <v>68</v>
      </c>
      <c r="D22" t="s">
        <v>68</v>
      </c>
      <c r="E22" t="s">
        <v>69</v>
      </c>
      <c r="F22" s="8">
        <v>0.42</v>
      </c>
      <c r="G22" s="8">
        <v>5.2999999999999999E-2</v>
      </c>
      <c r="H22" s="8">
        <v>0.46899999999999997</v>
      </c>
      <c r="I22" s="8">
        <v>5.8000000000000003E-2</v>
      </c>
      <c r="J22" s="12">
        <f>SUM(F22:I22)</f>
        <v>1</v>
      </c>
      <c r="K22" s="8">
        <v>0.63000000000000012</v>
      </c>
      <c r="L22" s="13">
        <f>K22*0.95</f>
        <v>0.59850000000000003</v>
      </c>
      <c r="M22" s="13">
        <f>L22*1.05</f>
        <v>0.62842500000000001</v>
      </c>
      <c r="N22" s="8">
        <v>0.95176181599999998</v>
      </c>
      <c r="O22" s="8">
        <f>N22*0.95</f>
        <v>0.90417372519999994</v>
      </c>
      <c r="P22" s="8">
        <f>N22*1.05</f>
        <v>0.99934990680000002</v>
      </c>
      <c r="Q22" s="8">
        <v>0.71</v>
      </c>
      <c r="R22" s="10">
        <f>Q22*0.95</f>
        <v>0.67449999999999999</v>
      </c>
      <c r="S22" s="10">
        <f>R22*1.05</f>
        <v>0.70822499999999999</v>
      </c>
    </row>
    <row r="23" spans="1:19" x14ac:dyDescent="0.3">
      <c r="A23" t="s">
        <v>49</v>
      </c>
      <c r="B23" t="s">
        <v>75</v>
      </c>
      <c r="C23" t="s">
        <v>68</v>
      </c>
      <c r="D23" t="s">
        <v>68</v>
      </c>
      <c r="E23" t="s">
        <v>69</v>
      </c>
      <c r="F23" s="8">
        <v>0.93</v>
      </c>
      <c r="G23" s="8">
        <v>7.0000000000000007E-2</v>
      </c>
      <c r="H23" s="10">
        <f>1-SUM(F23:G23,I23)</f>
        <v>0</v>
      </c>
      <c r="I23" s="8">
        <v>0</v>
      </c>
      <c r="J23" s="12">
        <f>SUM(F23:I23)</f>
        <v>1</v>
      </c>
      <c r="K23" s="8">
        <v>0.622</v>
      </c>
      <c r="L23" s="13">
        <f>K23*0.94</f>
        <v>0.58467999999999998</v>
      </c>
      <c r="M23" s="13">
        <f>L23*1.06</f>
        <v>0.6197608</v>
      </c>
      <c r="N23" s="8">
        <v>0.95176181599999998</v>
      </c>
      <c r="O23" s="8">
        <f>N23*0.95</f>
        <v>0.90417372519999994</v>
      </c>
      <c r="P23" s="8">
        <f>N23*1.05</f>
        <v>0.99934990680000002</v>
      </c>
      <c r="Q23" s="8">
        <v>0.60399999999999998</v>
      </c>
      <c r="R23" s="10">
        <f>Q23*0.95</f>
        <v>0.57379999999999998</v>
      </c>
      <c r="S23" s="10">
        <f>R23*1.05</f>
        <v>0.60248999999999997</v>
      </c>
    </row>
    <row r="24" spans="1:19" x14ac:dyDescent="0.3">
      <c r="A24" t="s">
        <v>130</v>
      </c>
      <c r="B24" t="s">
        <v>73</v>
      </c>
      <c r="C24" t="s">
        <v>68</v>
      </c>
      <c r="D24" t="s">
        <v>68</v>
      </c>
      <c r="E24" t="s">
        <v>69</v>
      </c>
      <c r="F24" s="8">
        <f>AVERAGE(420.2,405.3,420.2,403.8,390.7,468.4)/1000</f>
        <v>0.41809999999999997</v>
      </c>
      <c r="G24" s="8">
        <f>AVERAGE(175.4,153.9,171.8,132.3,106.7,100.1)/1000</f>
        <v>0.14003333333333337</v>
      </c>
      <c r="H24" s="10">
        <f>1-SUM(F24:G24,I24)</f>
        <v>0.41068333333333329</v>
      </c>
      <c r="I24" s="8">
        <f>AVERAGE(28.6,37.6,28,37.3,25.9,29.7)/1000</f>
        <v>3.1183333333333334E-2</v>
      </c>
      <c r="J24" s="12">
        <f>SUM(F24:I24)</f>
        <v>1</v>
      </c>
      <c r="K24" s="8">
        <f>AVERAGE(89.5,89.3,87.9,88.2,89.3,90.1)/100</f>
        <v>0.89050000000000007</v>
      </c>
      <c r="L24" s="8">
        <f>MIN(89.5,89.3,87.9,88.2,89.3,90.1)/100</f>
        <v>0.879</v>
      </c>
      <c r="M24" s="8">
        <f>MAX(89.5,89.3,87.9,88.2,89.3,90.1)/100</f>
        <v>0.90099999999999991</v>
      </c>
      <c r="N24" s="8">
        <v>0.95176181599999998</v>
      </c>
      <c r="O24" s="8">
        <f>N24*0.95</f>
        <v>0.90417372519999994</v>
      </c>
      <c r="P24" s="8">
        <f>N24*1.05</f>
        <v>0.99934990680000002</v>
      </c>
      <c r="Q24" s="8">
        <f>AVERAGE(79.7,80.2,80,80,81.2,77.4)/100</f>
        <v>0.79749999999999999</v>
      </c>
      <c r="R24" s="8">
        <f>MIN(79.7,80.2,80,80,81.2,77.4)/100</f>
        <v>0.77400000000000002</v>
      </c>
      <c r="S24" s="8">
        <f>MAX(79.7,80.2,80,80,81.2,77.4)/100</f>
        <v>0.81200000000000006</v>
      </c>
    </row>
    <row r="25" spans="1:19" x14ac:dyDescent="0.3">
      <c r="A25" t="s">
        <v>17</v>
      </c>
      <c r="C25" t="s">
        <v>68</v>
      </c>
      <c r="D25" t="s">
        <v>68</v>
      </c>
      <c r="E25" t="s">
        <v>69</v>
      </c>
      <c r="F25" s="8">
        <v>0</v>
      </c>
      <c r="G25" s="8">
        <v>0</v>
      </c>
      <c r="H25" s="8">
        <v>0</v>
      </c>
      <c r="I25" s="8">
        <v>1</v>
      </c>
      <c r="J25" s="12">
        <f>SUM(F25:I25)</f>
        <v>1</v>
      </c>
      <c r="K25" s="8">
        <v>0</v>
      </c>
      <c r="L25" s="8">
        <v>0</v>
      </c>
      <c r="M25" s="8">
        <v>0</v>
      </c>
      <c r="N25" s="8">
        <v>0</v>
      </c>
      <c r="O25" s="8">
        <f>N25*0.95</f>
        <v>0</v>
      </c>
      <c r="P25" s="8">
        <f>N25*1.05</f>
        <v>0</v>
      </c>
      <c r="Q25" s="8">
        <v>0</v>
      </c>
      <c r="R25" s="13">
        <f>Q25*0.95</f>
        <v>0</v>
      </c>
      <c r="S25" s="13">
        <f>R25*1.05</f>
        <v>0</v>
      </c>
    </row>
    <row r="26" spans="1:19" x14ac:dyDescent="0.3">
      <c r="A26" t="s">
        <v>20</v>
      </c>
      <c r="B26" t="s">
        <v>73</v>
      </c>
      <c r="C26" t="s">
        <v>68</v>
      </c>
      <c r="D26" t="s">
        <v>68</v>
      </c>
      <c r="E26" t="s">
        <v>69</v>
      </c>
      <c r="F26" s="8">
        <v>0.84</v>
      </c>
      <c r="G26" s="8">
        <v>0.05</v>
      </c>
      <c r="H26" s="8">
        <v>7.0000000000000007E-2</v>
      </c>
      <c r="I26" s="8">
        <v>0.04</v>
      </c>
      <c r="J26" s="12">
        <f>SUM(F26:I26)</f>
        <v>1</v>
      </c>
      <c r="K26" s="8">
        <v>0.88</v>
      </c>
      <c r="L26" s="13">
        <f>K26*0.94</f>
        <v>0.82719999999999994</v>
      </c>
      <c r="M26" s="13">
        <f>L26*1.06</f>
        <v>0.87683199999999994</v>
      </c>
      <c r="N26" s="8">
        <v>0.95176181599999998</v>
      </c>
      <c r="O26" s="8">
        <f>N26*0.95</f>
        <v>0.90417372519999994</v>
      </c>
      <c r="P26" s="8">
        <f>N26*1.05</f>
        <v>0.99934990680000002</v>
      </c>
      <c r="Q26" s="8">
        <v>0.77</v>
      </c>
      <c r="R26" s="13">
        <f>Q26*0.95</f>
        <v>0.73149999999999993</v>
      </c>
      <c r="S26" s="13">
        <f>R26*1.05</f>
        <v>0.76807499999999995</v>
      </c>
    </row>
    <row r="27" spans="1:19" x14ac:dyDescent="0.3">
      <c r="A27" t="s">
        <v>51</v>
      </c>
      <c r="B27" t="s">
        <v>75</v>
      </c>
      <c r="C27" t="s">
        <v>68</v>
      </c>
      <c r="D27" t="s">
        <v>68</v>
      </c>
      <c r="E27" t="s">
        <v>69</v>
      </c>
      <c r="F27" s="8">
        <v>0</v>
      </c>
      <c r="G27" s="8">
        <v>1</v>
      </c>
      <c r="H27" s="8">
        <v>0</v>
      </c>
      <c r="I27" s="8">
        <v>0</v>
      </c>
      <c r="J27" s="12">
        <f>SUM(F27:I27)</f>
        <v>1</v>
      </c>
      <c r="K27" s="8">
        <v>0</v>
      </c>
      <c r="L27" s="8">
        <f>K27*0.95</f>
        <v>0</v>
      </c>
      <c r="M27" s="8">
        <f>L27*1.05</f>
        <v>0</v>
      </c>
      <c r="N27" s="9">
        <v>0.94900000000000007</v>
      </c>
      <c r="O27" s="9">
        <v>0.90069999999999995</v>
      </c>
      <c r="P27" s="9">
        <v>0.98250000000000004</v>
      </c>
      <c r="Q27" s="8">
        <v>0</v>
      </c>
      <c r="R27" s="13">
        <f>Q27*0.95</f>
        <v>0</v>
      </c>
      <c r="S27" s="13">
        <f>R27*1.05</f>
        <v>0</v>
      </c>
    </row>
    <row r="28" spans="1:19" x14ac:dyDescent="0.3">
      <c r="A28" t="s">
        <v>31</v>
      </c>
      <c r="B28" t="s">
        <v>73</v>
      </c>
      <c r="C28" t="s">
        <v>68</v>
      </c>
      <c r="D28" t="s">
        <v>68</v>
      </c>
      <c r="E28" t="s">
        <v>69</v>
      </c>
      <c r="F28" s="8">
        <v>0.13</v>
      </c>
      <c r="G28" s="8">
        <v>0.02</v>
      </c>
      <c r="H28" s="10">
        <f>1-SUM(F28:G28,I28)</f>
        <v>0.83000000000000007</v>
      </c>
      <c r="I28" s="8">
        <v>0.02</v>
      </c>
      <c r="J28" s="12">
        <f>SUM(F28:I28)</f>
        <v>1</v>
      </c>
      <c r="K28" s="8">
        <v>0.9</v>
      </c>
      <c r="L28" s="13">
        <f>K28*0.94</f>
        <v>0.84599999999999997</v>
      </c>
      <c r="M28" s="13">
        <f>L28*1.06</f>
        <v>0.89676</v>
      </c>
      <c r="N28" s="8">
        <v>0.95176181599999998</v>
      </c>
      <c r="O28" s="8">
        <f>N28*0.95</f>
        <v>0.90417372519999994</v>
      </c>
      <c r="P28" s="8">
        <f>N28*1.05</f>
        <v>0.99934990680000002</v>
      </c>
      <c r="Q28" s="8">
        <v>0.8</v>
      </c>
      <c r="R28" s="13">
        <f>Q28*0.95</f>
        <v>0.76</v>
      </c>
      <c r="S28" s="13">
        <f>R28*1.05</f>
        <v>0.79800000000000004</v>
      </c>
    </row>
    <row r="29" spans="1:19" x14ac:dyDescent="0.3">
      <c r="A29" t="s">
        <v>32</v>
      </c>
      <c r="B29" t="s">
        <v>73</v>
      </c>
      <c r="C29" t="s">
        <v>68</v>
      </c>
      <c r="D29" t="s">
        <v>68</v>
      </c>
      <c r="E29" t="s">
        <v>69</v>
      </c>
      <c r="F29" s="8">
        <f>766/1000</f>
        <v>0.76600000000000001</v>
      </c>
      <c r="G29" s="8">
        <f>74/1000</f>
        <v>7.3999999999999996E-2</v>
      </c>
      <c r="H29" s="10">
        <f>1-SUM(F29:G29,I29)</f>
        <v>0.15300000000000002</v>
      </c>
      <c r="I29" s="8">
        <f>7/1000</f>
        <v>7.0000000000000001E-3</v>
      </c>
      <c r="J29" s="12">
        <f>SUM(F29:I29)</f>
        <v>1</v>
      </c>
      <c r="K29" s="8">
        <v>0.89</v>
      </c>
      <c r="L29" s="13">
        <f>K29*0.94</f>
        <v>0.83660000000000001</v>
      </c>
      <c r="M29" s="13">
        <f>L29*1.06</f>
        <v>0.88679600000000003</v>
      </c>
      <c r="N29" s="8">
        <v>0.95176181599999998</v>
      </c>
      <c r="O29" s="8">
        <f>N29*0.95</f>
        <v>0.90417372519999994</v>
      </c>
      <c r="P29" s="8">
        <f>N29*1.05</f>
        <v>0.99934990680000002</v>
      </c>
      <c r="Q29" s="8">
        <v>0.75</v>
      </c>
      <c r="R29" s="13">
        <f>Q29*0.95</f>
        <v>0.71249999999999991</v>
      </c>
      <c r="S29" s="13">
        <f>R29*1.05</f>
        <v>0.74812499999999993</v>
      </c>
    </row>
    <row r="31" spans="1:19" x14ac:dyDescent="0.3">
      <c r="M31" s="5"/>
    </row>
    <row r="32" spans="1:19" x14ac:dyDescent="0.3">
      <c r="L32" s="5"/>
      <c r="M32" s="5"/>
    </row>
    <row r="33" spans="12:13" x14ac:dyDescent="0.3">
      <c r="L33" s="5"/>
      <c r="M33" s="5"/>
    </row>
    <row r="34" spans="12:13" x14ac:dyDescent="0.3">
      <c r="L34" s="5"/>
      <c r="M34" s="5"/>
    </row>
  </sheetData>
  <autoFilter ref="A1:S29" xr:uid="{FEB86C80-6855-4296-9746-1E92B0D65FFA}">
    <sortState xmlns:xlrd2="http://schemas.microsoft.com/office/spreadsheetml/2017/richdata2" ref="A2:S29">
      <sortCondition descending="1" ref="E1:E29"/>
    </sortState>
  </autoFilter>
  <conditionalFormatting sqref="K2:S29">
    <cfRule type="cellIs" dxfId="1" priority="1" operator="greaterThan">
      <formula>1</formula>
    </cfRule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70179B-AB51-47A6-B3D0-B3FCFEEF9C08}">
  <dimension ref="A1:S38"/>
  <sheetViews>
    <sheetView workbookViewId="0">
      <selection activeCell="D10" sqref="D10"/>
    </sheetView>
  </sheetViews>
  <sheetFormatPr defaultRowHeight="14.4" x14ac:dyDescent="0.3"/>
  <cols>
    <col min="1" max="1" width="24.21875" bestFit="1" customWidth="1"/>
    <col min="2" max="2" width="6.6640625" bestFit="1" customWidth="1"/>
    <col min="3" max="3" width="8.33203125" bestFit="1" customWidth="1"/>
    <col min="4" max="4" width="7.88671875" bestFit="1" customWidth="1"/>
    <col min="5" max="5" width="10.33203125" bestFit="1" customWidth="1"/>
    <col min="6" max="9" width="12" bestFit="1" customWidth="1"/>
    <col min="10" max="10" width="13" bestFit="1" customWidth="1"/>
    <col min="11" max="19" width="12.88671875" customWidth="1"/>
  </cols>
  <sheetData>
    <row r="1" spans="1:19" s="2" customFormat="1" ht="28.8" x14ac:dyDescent="0.3">
      <c r="A1" s="2" t="s">
        <v>0</v>
      </c>
      <c r="B1" s="2" t="s">
        <v>71</v>
      </c>
      <c r="C1" s="2" t="s">
        <v>67</v>
      </c>
      <c r="D1" s="2" t="s">
        <v>86</v>
      </c>
      <c r="E1" s="2" t="s">
        <v>102</v>
      </c>
      <c r="F1" s="2" t="s">
        <v>43</v>
      </c>
      <c r="G1" s="2" t="s">
        <v>44</v>
      </c>
      <c r="H1" s="2" t="s">
        <v>46</v>
      </c>
      <c r="I1" s="2" t="s">
        <v>45</v>
      </c>
      <c r="J1" s="2" t="s">
        <v>76</v>
      </c>
      <c r="K1" s="2" t="s">
        <v>40</v>
      </c>
      <c r="L1" s="2" t="s">
        <v>34</v>
      </c>
      <c r="M1" s="2" t="s">
        <v>35</v>
      </c>
      <c r="N1" s="2" t="s">
        <v>41</v>
      </c>
      <c r="O1" s="2" t="s">
        <v>36</v>
      </c>
      <c r="P1" s="2" t="s">
        <v>37</v>
      </c>
      <c r="Q1" s="2" t="s">
        <v>42</v>
      </c>
      <c r="R1" s="2" t="s">
        <v>38</v>
      </c>
      <c r="S1" s="2" t="s">
        <v>39</v>
      </c>
    </row>
    <row r="2" spans="1:19" x14ac:dyDescent="0.3">
      <c r="A2" t="s">
        <v>4</v>
      </c>
      <c r="B2" t="s">
        <v>73</v>
      </c>
      <c r="C2" t="s">
        <v>68</v>
      </c>
      <c r="D2" t="s">
        <v>69</v>
      </c>
      <c r="E2" t="s">
        <v>69</v>
      </c>
      <c r="F2" s="8">
        <v>0</v>
      </c>
      <c r="G2" s="8">
        <v>1</v>
      </c>
      <c r="H2" s="8">
        <v>0</v>
      </c>
      <c r="I2" s="8">
        <v>0</v>
      </c>
      <c r="J2" s="8">
        <f>SUM(F2:I2)</f>
        <v>1</v>
      </c>
      <c r="K2" s="11">
        <v>0.84588505065844988</v>
      </c>
      <c r="L2" s="13">
        <f>K2*0.95</f>
        <v>0.80359079812552736</v>
      </c>
      <c r="M2" s="13">
        <f>L2*1.05</f>
        <v>0.84377033803180379</v>
      </c>
      <c r="N2" s="8">
        <v>0.93</v>
      </c>
      <c r="O2" s="8">
        <f>N2*0.95</f>
        <v>0.88349999999999995</v>
      </c>
      <c r="P2" s="8">
        <f>MIN(N2*1.05, 0.995)</f>
        <v>0.97650000000000015</v>
      </c>
      <c r="Q2" s="11">
        <v>0.71148214285714262</v>
      </c>
      <c r="R2" s="10">
        <f>Q2*0.95</f>
        <v>0.67590803571428548</v>
      </c>
      <c r="S2" s="10">
        <f>R2*1.05</f>
        <v>0.70970343749999976</v>
      </c>
    </row>
    <row r="3" spans="1:19" x14ac:dyDescent="0.3">
      <c r="A3" t="s">
        <v>5</v>
      </c>
      <c r="B3" t="s">
        <v>73</v>
      </c>
      <c r="C3" t="s">
        <v>68</v>
      </c>
      <c r="D3" t="s">
        <v>68</v>
      </c>
      <c r="E3" t="s">
        <v>69</v>
      </c>
      <c r="F3" s="8">
        <v>0.68</v>
      </c>
      <c r="G3" s="8">
        <v>7.0000000000000007E-2</v>
      </c>
      <c r="H3" s="10">
        <f>1-SUM(F3:G3,I3)</f>
        <v>0.22999999999999998</v>
      </c>
      <c r="I3" s="8">
        <v>0.02</v>
      </c>
      <c r="J3" s="8">
        <f>SUM(F3:I3)</f>
        <v>1</v>
      </c>
      <c r="K3" s="8">
        <v>0.94</v>
      </c>
      <c r="L3" s="13">
        <f>K3*0.95</f>
        <v>0.8929999999999999</v>
      </c>
      <c r="M3" s="13">
        <f>L3*1.05</f>
        <v>0.93764999999999998</v>
      </c>
      <c r="N3" s="8">
        <v>0.93</v>
      </c>
      <c r="O3" s="8">
        <f>N3*0.95</f>
        <v>0.88349999999999995</v>
      </c>
      <c r="P3" s="8">
        <f>MIN(N3*1.05, 0.995)</f>
        <v>0.97650000000000015</v>
      </c>
      <c r="Q3" s="8">
        <v>0.83</v>
      </c>
      <c r="R3" s="10">
        <f>Q3*0.95</f>
        <v>0.78849999999999998</v>
      </c>
      <c r="S3" s="10">
        <f>R3*1.05</f>
        <v>0.82792500000000002</v>
      </c>
    </row>
    <row r="4" spans="1:19" x14ac:dyDescent="0.3">
      <c r="A4" t="s">
        <v>6</v>
      </c>
      <c r="B4" t="s">
        <v>73</v>
      </c>
      <c r="C4" t="s">
        <v>69</v>
      </c>
      <c r="D4" t="s">
        <v>69</v>
      </c>
      <c r="E4" t="s">
        <v>69</v>
      </c>
      <c r="F4">
        <v>0.3</v>
      </c>
      <c r="G4">
        <v>0.02</v>
      </c>
      <c r="H4" s="10">
        <f>1-SUM(F4:G4,I4)</f>
        <v>0.64</v>
      </c>
      <c r="I4">
        <v>0.04</v>
      </c>
      <c r="J4" s="12">
        <f t="shared" ref="J4:J13" si="0">SUM(F4:I4)</f>
        <v>1</v>
      </c>
      <c r="K4">
        <v>0.86</v>
      </c>
      <c r="L4" s="4">
        <f t="shared" ref="L4:L13" si="1">K4*0.95</f>
        <v>0.81699999999999995</v>
      </c>
      <c r="M4" s="4">
        <f t="shared" ref="M4:M13" si="2">L4*1.05</f>
        <v>0.85785</v>
      </c>
      <c r="N4">
        <v>0.93</v>
      </c>
      <c r="O4">
        <f t="shared" ref="O4:O13" si="3">N4*0.95</f>
        <v>0.88349999999999995</v>
      </c>
      <c r="P4">
        <f t="shared" ref="P4:P13" si="4">MIN(N4*1.05, 0.995)</f>
        <v>0.97650000000000015</v>
      </c>
      <c r="Q4">
        <v>0.6</v>
      </c>
      <c r="R4" s="4">
        <f t="shared" ref="R4:R13" si="5">Q4*0.95</f>
        <v>0.56999999999999995</v>
      </c>
      <c r="S4" s="4">
        <f t="shared" ref="S4:S13" si="6">R4*1.05</f>
        <v>0.59849999999999992</v>
      </c>
    </row>
    <row r="5" spans="1:19" x14ac:dyDescent="0.3">
      <c r="A5" t="s">
        <v>13</v>
      </c>
      <c r="B5" t="s">
        <v>73</v>
      </c>
      <c r="C5" t="s">
        <v>69</v>
      </c>
      <c r="D5" t="s">
        <v>69</v>
      </c>
      <c r="E5" t="s">
        <v>69</v>
      </c>
      <c r="F5">
        <v>0.55800000000000005</v>
      </c>
      <c r="G5">
        <v>4.7E-2</v>
      </c>
      <c r="H5">
        <v>0.34100000000000003</v>
      </c>
      <c r="I5">
        <v>5.3999999999999999E-2</v>
      </c>
      <c r="J5" s="12">
        <f t="shared" si="0"/>
        <v>1.0000000000000002</v>
      </c>
      <c r="K5">
        <v>0.63000000000000012</v>
      </c>
      <c r="L5" s="4">
        <f t="shared" si="1"/>
        <v>0.59850000000000003</v>
      </c>
      <c r="M5" s="4">
        <f t="shared" si="2"/>
        <v>0.62842500000000001</v>
      </c>
      <c r="N5">
        <v>0.93</v>
      </c>
      <c r="O5">
        <f t="shared" si="3"/>
        <v>0.88349999999999995</v>
      </c>
      <c r="P5">
        <f t="shared" si="4"/>
        <v>0.97650000000000015</v>
      </c>
      <c r="Q5">
        <v>0.65000000000000013</v>
      </c>
      <c r="R5" s="4">
        <f t="shared" si="5"/>
        <v>0.61750000000000005</v>
      </c>
      <c r="S5" s="4">
        <f t="shared" si="6"/>
        <v>0.64837500000000003</v>
      </c>
    </row>
    <row r="6" spans="1:19" x14ac:dyDescent="0.3">
      <c r="A6" t="s">
        <v>15</v>
      </c>
      <c r="B6" t="s">
        <v>73</v>
      </c>
      <c r="C6" t="s">
        <v>69</v>
      </c>
      <c r="D6" t="s">
        <v>69</v>
      </c>
      <c r="E6" t="s">
        <v>69</v>
      </c>
      <c r="F6">
        <v>0</v>
      </c>
      <c r="G6">
        <v>1</v>
      </c>
      <c r="H6">
        <v>0</v>
      </c>
      <c r="I6">
        <v>0</v>
      </c>
      <c r="J6" s="12">
        <f t="shared" si="0"/>
        <v>1</v>
      </c>
      <c r="K6" s="4">
        <v>0.84588505065844988</v>
      </c>
      <c r="L6" s="4">
        <f t="shared" si="1"/>
        <v>0.80359079812552736</v>
      </c>
      <c r="M6" s="4">
        <f t="shared" si="2"/>
        <v>0.84377033803180379</v>
      </c>
      <c r="N6">
        <v>0.93</v>
      </c>
      <c r="O6">
        <f t="shared" si="3"/>
        <v>0.88349999999999995</v>
      </c>
      <c r="P6">
        <f t="shared" si="4"/>
        <v>0.97650000000000015</v>
      </c>
      <c r="Q6" s="4">
        <v>0.71148214285714262</v>
      </c>
      <c r="R6" s="4">
        <f t="shared" si="5"/>
        <v>0.67590803571428548</v>
      </c>
      <c r="S6" s="4">
        <f t="shared" si="6"/>
        <v>0.70970343749999976</v>
      </c>
    </row>
    <row r="7" spans="1:19" x14ac:dyDescent="0.3">
      <c r="A7" t="s">
        <v>19</v>
      </c>
      <c r="B7" t="s">
        <v>73</v>
      </c>
      <c r="C7" t="s">
        <v>69</v>
      </c>
      <c r="D7" t="s">
        <v>69</v>
      </c>
      <c r="E7" t="s">
        <v>69</v>
      </c>
      <c r="F7">
        <v>0.23</v>
      </c>
      <c r="G7">
        <v>0.01</v>
      </c>
      <c r="H7">
        <v>0.45</v>
      </c>
      <c r="I7">
        <v>0.31</v>
      </c>
      <c r="J7" s="12">
        <f t="shared" si="0"/>
        <v>1</v>
      </c>
      <c r="K7">
        <v>0.8</v>
      </c>
      <c r="L7" s="4">
        <f t="shared" si="1"/>
        <v>0.76</v>
      </c>
      <c r="M7" s="4">
        <f t="shared" si="2"/>
        <v>0.79800000000000004</v>
      </c>
      <c r="N7">
        <v>0.93</v>
      </c>
      <c r="O7">
        <f t="shared" si="3"/>
        <v>0.88349999999999995</v>
      </c>
      <c r="P7">
        <f t="shared" si="4"/>
        <v>0.97650000000000015</v>
      </c>
      <c r="Q7">
        <v>0.57999999999999996</v>
      </c>
      <c r="R7" s="4">
        <f t="shared" si="5"/>
        <v>0.55099999999999993</v>
      </c>
      <c r="S7" s="4">
        <f t="shared" si="6"/>
        <v>0.57855000000000001</v>
      </c>
    </row>
    <row r="8" spans="1:19" x14ac:dyDescent="0.3">
      <c r="A8" t="s">
        <v>25</v>
      </c>
      <c r="B8" t="s">
        <v>73</v>
      </c>
      <c r="C8" t="s">
        <v>69</v>
      </c>
      <c r="D8" t="s">
        <v>69</v>
      </c>
      <c r="E8" t="s">
        <v>69</v>
      </c>
      <c r="F8">
        <v>0</v>
      </c>
      <c r="G8">
        <v>1</v>
      </c>
      <c r="H8">
        <v>0</v>
      </c>
      <c r="I8">
        <v>0</v>
      </c>
      <c r="J8" s="12">
        <f t="shared" si="0"/>
        <v>1</v>
      </c>
      <c r="K8" s="4">
        <v>0.84588505065844988</v>
      </c>
      <c r="L8" s="4">
        <f t="shared" si="1"/>
        <v>0.80359079812552736</v>
      </c>
      <c r="M8" s="4">
        <f t="shared" si="2"/>
        <v>0.84377033803180379</v>
      </c>
      <c r="N8">
        <v>0.93</v>
      </c>
      <c r="O8">
        <f t="shared" si="3"/>
        <v>0.88349999999999995</v>
      </c>
      <c r="P8">
        <f t="shared" si="4"/>
        <v>0.97650000000000015</v>
      </c>
      <c r="Q8" s="4">
        <v>0.71148214285714262</v>
      </c>
      <c r="R8" s="4">
        <f t="shared" si="5"/>
        <v>0.67590803571428548</v>
      </c>
      <c r="S8" s="4">
        <f t="shared" si="6"/>
        <v>0.70970343749999976</v>
      </c>
    </row>
    <row r="9" spans="1:19" x14ac:dyDescent="0.3">
      <c r="A9" t="s">
        <v>27</v>
      </c>
      <c r="B9" t="s">
        <v>72</v>
      </c>
      <c r="C9" t="s">
        <v>69</v>
      </c>
      <c r="D9" t="s">
        <v>69</v>
      </c>
      <c r="E9" t="s">
        <v>69</v>
      </c>
      <c r="F9">
        <v>0.63800000000000001</v>
      </c>
      <c r="G9">
        <v>6.0999999999999999E-2</v>
      </c>
      <c r="H9" s="10">
        <f>1-SUM(F9:G9,I9)</f>
        <v>0.21199999999999997</v>
      </c>
      <c r="I9">
        <v>8.8999999999999996E-2</v>
      </c>
      <c r="J9" s="12">
        <f t="shared" si="0"/>
        <v>1</v>
      </c>
      <c r="K9">
        <v>0.81</v>
      </c>
      <c r="L9" s="4">
        <f t="shared" si="1"/>
        <v>0.76949999999999996</v>
      </c>
      <c r="M9" s="4">
        <f t="shared" si="2"/>
        <v>0.807975</v>
      </c>
      <c r="N9">
        <v>0.93</v>
      </c>
      <c r="O9">
        <f t="shared" si="3"/>
        <v>0.88349999999999995</v>
      </c>
      <c r="P9">
        <f t="shared" si="4"/>
        <v>0.97650000000000015</v>
      </c>
      <c r="Q9">
        <v>0.72</v>
      </c>
      <c r="R9" s="4">
        <f t="shared" si="5"/>
        <v>0.68399999999999994</v>
      </c>
      <c r="S9" s="4">
        <f t="shared" si="6"/>
        <v>0.71819999999999995</v>
      </c>
    </row>
    <row r="10" spans="1:19" x14ac:dyDescent="0.3">
      <c r="A10" t="s">
        <v>28</v>
      </c>
      <c r="B10" t="s">
        <v>73</v>
      </c>
      <c r="C10" t="s">
        <v>69</v>
      </c>
      <c r="D10" t="s">
        <v>69</v>
      </c>
      <c r="E10" t="s">
        <v>69</v>
      </c>
      <c r="F10">
        <v>0.32400000000000001</v>
      </c>
      <c r="G10">
        <v>2.1999999999999999E-2</v>
      </c>
      <c r="H10">
        <v>0.58299999999999996</v>
      </c>
      <c r="I10">
        <v>7.0999999999999994E-2</v>
      </c>
      <c r="J10" s="12">
        <f t="shared" si="0"/>
        <v>1</v>
      </c>
      <c r="K10">
        <v>0.87</v>
      </c>
      <c r="L10" s="4">
        <f t="shared" si="1"/>
        <v>0.82650000000000001</v>
      </c>
      <c r="M10" s="4">
        <f t="shared" si="2"/>
        <v>0.86782500000000007</v>
      </c>
      <c r="N10">
        <v>0.93</v>
      </c>
      <c r="O10">
        <f t="shared" si="3"/>
        <v>0.88349999999999995</v>
      </c>
      <c r="P10">
        <f t="shared" si="4"/>
        <v>0.97650000000000015</v>
      </c>
      <c r="Q10">
        <v>0.61</v>
      </c>
      <c r="R10" s="4">
        <f t="shared" si="5"/>
        <v>0.57950000000000002</v>
      </c>
      <c r="S10" s="4">
        <f t="shared" si="6"/>
        <v>0.60847499999999999</v>
      </c>
    </row>
    <row r="11" spans="1:19" x14ac:dyDescent="0.3">
      <c r="A11" t="s">
        <v>29</v>
      </c>
      <c r="B11" t="s">
        <v>73</v>
      </c>
      <c r="C11" t="s">
        <v>69</v>
      </c>
      <c r="D11" t="s">
        <v>69</v>
      </c>
      <c r="E11" t="s">
        <v>69</v>
      </c>
      <c r="F11">
        <v>0.377</v>
      </c>
      <c r="G11">
        <v>1.7999999999999999E-2</v>
      </c>
      <c r="H11">
        <v>0.52800000000000002</v>
      </c>
      <c r="I11">
        <v>7.6999999999999999E-2</v>
      </c>
      <c r="J11" s="12">
        <f t="shared" si="0"/>
        <v>1</v>
      </c>
      <c r="K11">
        <v>0.87</v>
      </c>
      <c r="L11" s="4">
        <f t="shared" si="1"/>
        <v>0.82650000000000001</v>
      </c>
      <c r="M11" s="4">
        <f t="shared" si="2"/>
        <v>0.86782500000000007</v>
      </c>
      <c r="N11">
        <v>0.93</v>
      </c>
      <c r="O11">
        <f t="shared" si="3"/>
        <v>0.88349999999999995</v>
      </c>
      <c r="P11">
        <f t="shared" si="4"/>
        <v>0.97650000000000015</v>
      </c>
      <c r="Q11">
        <v>0.61</v>
      </c>
      <c r="R11" s="4">
        <f t="shared" si="5"/>
        <v>0.57950000000000002</v>
      </c>
      <c r="S11" s="4">
        <f t="shared" si="6"/>
        <v>0.60847499999999999</v>
      </c>
    </row>
    <row r="12" spans="1:19" x14ac:dyDescent="0.3">
      <c r="A12" t="s">
        <v>30</v>
      </c>
      <c r="B12" t="s">
        <v>73</v>
      </c>
      <c r="C12" t="s">
        <v>69</v>
      </c>
      <c r="D12" t="s">
        <v>69</v>
      </c>
      <c r="E12" t="s">
        <v>69</v>
      </c>
      <c r="F12">
        <v>2.9000000000000001E-2</v>
      </c>
      <c r="G12">
        <v>7.0000000000000001E-3</v>
      </c>
      <c r="H12">
        <v>0.92500000000000004</v>
      </c>
      <c r="I12">
        <v>3.9E-2</v>
      </c>
      <c r="J12" s="12">
        <f t="shared" si="0"/>
        <v>1</v>
      </c>
      <c r="K12">
        <v>0.84000000000000008</v>
      </c>
      <c r="L12" s="4">
        <f t="shared" si="1"/>
        <v>0.79800000000000004</v>
      </c>
      <c r="M12" s="4">
        <f t="shared" si="2"/>
        <v>0.83790000000000009</v>
      </c>
      <c r="N12">
        <v>0.93</v>
      </c>
      <c r="O12">
        <f t="shared" si="3"/>
        <v>0.88349999999999995</v>
      </c>
      <c r="P12">
        <f t="shared" si="4"/>
        <v>0.97650000000000015</v>
      </c>
      <c r="Q12">
        <v>0.7</v>
      </c>
      <c r="R12" s="4">
        <f t="shared" si="5"/>
        <v>0.66499999999999992</v>
      </c>
      <c r="S12" s="4">
        <f t="shared" si="6"/>
        <v>0.69824999999999993</v>
      </c>
    </row>
    <row r="13" spans="1:19" x14ac:dyDescent="0.3">
      <c r="A13" t="s">
        <v>33</v>
      </c>
      <c r="B13" t="s">
        <v>72</v>
      </c>
      <c r="C13" t="s">
        <v>69</v>
      </c>
      <c r="D13" t="s">
        <v>69</v>
      </c>
      <c r="E13" t="s">
        <v>69</v>
      </c>
      <c r="F13">
        <v>0.48</v>
      </c>
      <c r="G13">
        <v>0.04</v>
      </c>
      <c r="H13">
        <v>0.41</v>
      </c>
      <c r="I13">
        <v>7.0000000000000007E-2</v>
      </c>
      <c r="J13" s="12">
        <f t="shared" si="0"/>
        <v>1</v>
      </c>
      <c r="K13">
        <v>0.82000000000000006</v>
      </c>
      <c r="L13" s="4">
        <f t="shared" si="1"/>
        <v>0.77900000000000003</v>
      </c>
      <c r="M13" s="4">
        <f t="shared" si="2"/>
        <v>0.81795000000000007</v>
      </c>
      <c r="N13">
        <v>0.93</v>
      </c>
      <c r="O13">
        <f t="shared" si="3"/>
        <v>0.88349999999999995</v>
      </c>
      <c r="P13">
        <f t="shared" si="4"/>
        <v>0.97650000000000015</v>
      </c>
      <c r="Q13">
        <v>0.7</v>
      </c>
      <c r="R13" s="4">
        <f t="shared" si="5"/>
        <v>0.66499999999999992</v>
      </c>
      <c r="S13" s="4">
        <f t="shared" si="6"/>
        <v>0.69824999999999993</v>
      </c>
    </row>
    <row r="20" spans="12:13" x14ac:dyDescent="0.3">
      <c r="L20" s="5"/>
      <c r="M20" s="5"/>
    </row>
    <row r="21" spans="12:13" x14ac:dyDescent="0.3">
      <c r="L21" s="5"/>
      <c r="M21" s="5"/>
    </row>
    <row r="22" spans="12:13" x14ac:dyDescent="0.3">
      <c r="L22" s="5"/>
      <c r="M22" s="5"/>
    </row>
    <row r="23" spans="12:13" x14ac:dyDescent="0.3">
      <c r="L23" s="5"/>
      <c r="M23" s="5"/>
    </row>
    <row r="24" spans="12:13" x14ac:dyDescent="0.3">
      <c r="L24" s="5"/>
      <c r="M24" s="5"/>
    </row>
    <row r="25" spans="12:13" x14ac:dyDescent="0.3">
      <c r="L25" s="5"/>
      <c r="M25" s="5"/>
    </row>
    <row r="26" spans="12:13" x14ac:dyDescent="0.3">
      <c r="L26" s="5"/>
      <c r="M26" s="5"/>
    </row>
    <row r="27" spans="12:13" x14ac:dyDescent="0.3">
      <c r="L27" s="5"/>
      <c r="M27" s="5"/>
    </row>
    <row r="28" spans="12:13" x14ac:dyDescent="0.3">
      <c r="L28" s="5"/>
      <c r="M28" s="5"/>
    </row>
    <row r="29" spans="12:13" x14ac:dyDescent="0.3">
      <c r="L29" s="5"/>
      <c r="M29" s="5"/>
    </row>
    <row r="30" spans="12:13" x14ac:dyDescent="0.3">
      <c r="L30" s="5"/>
      <c r="M30" s="5"/>
    </row>
    <row r="31" spans="12:13" x14ac:dyDescent="0.3">
      <c r="L31" s="5"/>
      <c r="M31" s="5"/>
    </row>
    <row r="32" spans="12:13" x14ac:dyDescent="0.3">
      <c r="L32" s="5"/>
      <c r="M32" s="5"/>
    </row>
    <row r="33" spans="12:13" x14ac:dyDescent="0.3">
      <c r="L33" s="5"/>
      <c r="M33" s="5"/>
    </row>
    <row r="34" spans="12:13" x14ac:dyDescent="0.3">
      <c r="L34" s="5"/>
      <c r="M34" s="5"/>
    </row>
    <row r="35" spans="12:13" x14ac:dyDescent="0.3">
      <c r="L35" s="5"/>
      <c r="M35" s="5"/>
    </row>
    <row r="36" spans="12:13" x14ac:dyDescent="0.3">
      <c r="L36" s="5"/>
      <c r="M36" s="5"/>
    </row>
    <row r="37" spans="12:13" x14ac:dyDescent="0.3">
      <c r="L37" s="5"/>
      <c r="M37" s="5"/>
    </row>
    <row r="38" spans="12:13" x14ac:dyDescent="0.3">
      <c r="L38" s="5"/>
      <c r="M38" s="5"/>
    </row>
  </sheetData>
  <autoFilter ref="A1:S13" xr:uid="{1470179B-AB51-47A6-B3D0-B3FCFEEF9C08}">
    <sortState xmlns:xlrd2="http://schemas.microsoft.com/office/spreadsheetml/2017/richdata2" ref="A2:S13">
      <sortCondition descending="1" ref="D1:D13"/>
    </sortState>
  </autoFilter>
  <conditionalFormatting sqref="K2:S3">
    <cfRule type="cellIs" dxfId="0" priority="1" operator="greaterThan">
      <formula>1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FC4148-5D60-45B8-8FFC-8BFCF1B772DA}">
  <dimension ref="A1:Y74"/>
  <sheetViews>
    <sheetView zoomScaleNormal="100" workbookViewId="0">
      <selection activeCell="C6" sqref="C6"/>
    </sheetView>
  </sheetViews>
  <sheetFormatPr defaultRowHeight="14.4" x14ac:dyDescent="0.3"/>
  <cols>
    <col min="1" max="1" width="24" customWidth="1"/>
    <col min="2" max="2" width="23.5546875" bestFit="1" customWidth="1"/>
    <col min="3" max="3" width="13.109375" bestFit="1" customWidth="1"/>
    <col min="4" max="4" width="29.77734375" bestFit="1" customWidth="1"/>
    <col min="5" max="5" width="12" bestFit="1" customWidth="1"/>
    <col min="6" max="6" width="27.5546875" bestFit="1" customWidth="1"/>
    <col min="7" max="7" width="12" bestFit="1" customWidth="1"/>
    <col min="8" max="9" width="27.44140625" bestFit="1" customWidth="1"/>
    <col min="10" max="10" width="23.33203125" customWidth="1"/>
    <col min="11" max="11" width="16.5546875" customWidth="1"/>
    <col min="12" max="12" width="16.5546875" hidden="1" customWidth="1"/>
    <col min="13" max="13" width="16.5546875" customWidth="1"/>
    <col min="14" max="14" width="16.5546875" hidden="1" customWidth="1"/>
    <col min="15" max="15" width="16.5546875" customWidth="1"/>
    <col min="16" max="16" width="16.5546875" hidden="1" customWidth="1"/>
    <col min="17" max="17" width="16.5546875" customWidth="1"/>
    <col min="18" max="19" width="16.5546875" hidden="1" customWidth="1"/>
    <col min="20" max="20" width="16.5546875" customWidth="1"/>
    <col min="21" max="22" width="16.5546875" hidden="1" customWidth="1"/>
    <col min="23" max="23" width="16.5546875" customWidth="1"/>
    <col min="24" max="24" width="11.33203125" hidden="1" customWidth="1"/>
    <col min="25" max="25" width="8.88671875" hidden="1" customWidth="1"/>
  </cols>
  <sheetData>
    <row r="1" spans="2:25" ht="28.8" x14ac:dyDescent="0.3">
      <c r="J1" s="2" t="s">
        <v>0</v>
      </c>
      <c r="K1" s="2" t="s">
        <v>131</v>
      </c>
      <c r="L1" s="2"/>
      <c r="M1" s="2" t="s">
        <v>132</v>
      </c>
      <c r="N1" s="2"/>
      <c r="O1" s="2" t="s">
        <v>133</v>
      </c>
      <c r="P1" s="2"/>
      <c r="Q1" s="2" t="s">
        <v>134</v>
      </c>
      <c r="R1" s="2" t="s">
        <v>139</v>
      </c>
      <c r="S1" s="2" t="s">
        <v>140</v>
      </c>
      <c r="T1" s="2" t="s">
        <v>135</v>
      </c>
      <c r="U1" s="2" t="s">
        <v>139</v>
      </c>
      <c r="V1" s="2" t="s">
        <v>140</v>
      </c>
      <c r="W1" s="2" t="s">
        <v>136</v>
      </c>
      <c r="X1" s="2" t="s">
        <v>139</v>
      </c>
      <c r="Y1" s="2" t="s">
        <v>140</v>
      </c>
    </row>
    <row r="2" spans="2:25" x14ac:dyDescent="0.3">
      <c r="J2" t="s">
        <v>47</v>
      </c>
      <c r="K2" s="14"/>
      <c r="L2" s="14">
        <f>K2*GETPIVOTDATA("Sum of protein",$B$3,"ingredient",$J2)*GETPIVOTDATA("Sum of mean_protein_digestibility",$B$3,"ingredient",$J2)*23.6+K2*GETPIVOTDATA("Sum of lipid",$B$3,"ingredient",$J2)*GETPIVOTDATA("Sum of mean_lipid_digestibility",$B$3,"ingredient",$J2)*36.2+K2*GETPIVOTDATA("Sum of carb",$B$3,"ingredient",$J2)*GETPIVOTDATA("Sum of mean_carb_digestibility",$B$3,"ingredient",$J2)*17.2</f>
        <v>0</v>
      </c>
      <c r="M2" s="14">
        <v>4.7600000000000003E-2</v>
      </c>
      <c r="N2" s="14">
        <f>M2*GETPIVOTDATA("Sum of protein",$B$3,"ingredient",$J2)*GETPIVOTDATA("Sum of mean_protein_digestibility",$B$3,"ingredient",$J2)*23.6+M2*GETPIVOTDATA("Sum of lipid",$B$3,"ingredient",$J2)*GETPIVOTDATA("Sum of mean_lipid_digestibility",$B$3,"ingredient",$J2)*36.2+M2*GETPIVOTDATA("Sum of carb",$B$3,"ingredient",$J2)*GETPIVOTDATA("Sum of mean_carb_digestibility",$B$3,"ingredient",$J2)*17.2</f>
        <v>1.6399998203859201</v>
      </c>
      <c r="O2" s="14">
        <v>2.5000000000000001E-2</v>
      </c>
      <c r="P2">
        <f>O2*GETPIVOTDATA("Sum of protein",$B$3,"ingredient",$J2)*GETPIVOTDATA("Sum of mean_protein_digestibility",$B$3,"ingredient",$J2)*23.6+O2*GETPIVOTDATA("Sum of lipid",$B$3,"ingredient",$J2)*GETPIVOTDATA("Sum of mean_lipid_digestibility",$B$3,"ingredient",$J2)*36.2+O2*GETPIVOTDATA("Sum of carb",$B$3,"ingredient",$J2)*GETPIVOTDATA("Sum of mean_carb_digestibility",$B$3,"ingredient",$J2)*17.2</f>
        <v>0.86134444348000017</v>
      </c>
      <c r="Q2" s="8"/>
      <c r="R2" s="18">
        <f>Q2*GETPIVOTDATA("Sum of protein",$B$3,"ingredient",$J2)*GETPIVOTDATA("Sum of mean_protein_digestibility",$B$3,"ingredient",$J2)*23.6+Q2*GETPIVOTDATA("Sum of lipid",$B$3,"ingredient",$J2)*GETPIVOTDATA("Sum of mean_lipid_digestibility",$B$3,"ingredient",$J2)*36.2+Q2*GETPIVOTDATA("Sum of carb",$B$3,"ingredient",$J2)*GETPIVOTDATA("Sum of mean_carb_digestibility",$B$3,"ingredient",$J2)*17.2</f>
        <v>0</v>
      </c>
      <c r="S2" s="8">
        <f>Q2*GETPIVOTDATA("Sum of protein",$B$3,"ingredient",$J2)*GETPIVOTDATA("Sum of mean_protein_digestibility",$B$3,"ingredient",$J2)</f>
        <v>0</v>
      </c>
      <c r="T2" s="8">
        <f>M2/SUM(M$2:M$39)</f>
        <v>4.1071814505501562E-2</v>
      </c>
      <c r="U2" s="18">
        <f>T2*GETPIVOTDATA("Sum of protein",$B$3,"ingredient",$J2)*GETPIVOTDATA("Sum of mean_protein_digestibility",$B$3,"ingredient",$J2)*23.6+T2*GETPIVOTDATA("Sum of lipid",$B$3,"ingredient",$J2)*GETPIVOTDATA("Sum of mean_lipid_digestibility",$B$3,"ingredient",$J2)*36.2+T2*GETPIVOTDATA("Sum of carb",$B$3,"ingredient",$J2)*GETPIVOTDATA("Sum of mean_carb_digestibility",$B$3,"ingredient",$J2)*17.2</f>
        <v>1.4150791683182014</v>
      </c>
      <c r="V2" s="8">
        <f>T2*GETPIVOTDATA("Sum of protein",$B$3,"ingredient",$J2)*GETPIVOTDATA("Sum of mean_protein_digestibility",$B$3,"ingredient",$J2)</f>
        <v>0</v>
      </c>
      <c r="W2" s="8">
        <f>O2/SUM(O$2:O$39)</f>
        <v>2.6758309066129467E-2</v>
      </c>
      <c r="X2" s="18">
        <f>W2*GETPIVOTDATA("Sum of protein",$B$3,"ingredient",$J2)*GETPIVOTDATA("Sum of mean_protein_digestibility",$B$3,"ingredient",$J2)*23.6+W2*GETPIVOTDATA("Sum of lipid",$B$3,"ingredient",$J2)*GETPIVOTDATA("Sum of mean_lipid_digestibility",$B$3,"ingredient",$J2)*36.2+W2*GETPIVOTDATA("Sum of carb",$B$3,"ingredient",$J2)*GETPIVOTDATA("Sum of mean_carb_digestibility",$B$3,"ingredient",$J2)*17.2</f>
        <v>0.92192483324124497</v>
      </c>
      <c r="Y2" s="8">
        <f>W2*GETPIVOTDATA("Sum of protein",$B$3,"ingredient",$J2)*GETPIVOTDATA("Sum of mean_protein_digestibility",$B$3,"ingredient",$J2)</f>
        <v>0</v>
      </c>
    </row>
    <row r="3" spans="2:25" x14ac:dyDescent="0.3">
      <c r="B3" s="6" t="s">
        <v>87</v>
      </c>
      <c r="C3" t="s">
        <v>88</v>
      </c>
      <c r="D3" t="s">
        <v>91</v>
      </c>
      <c r="E3" t="s">
        <v>89</v>
      </c>
      <c r="F3" t="s">
        <v>92</v>
      </c>
      <c r="G3" t="s">
        <v>90</v>
      </c>
      <c r="H3" t="s">
        <v>93</v>
      </c>
      <c r="J3" t="s">
        <v>48</v>
      </c>
      <c r="K3" s="16">
        <v>2.5999999999999999E-3</v>
      </c>
      <c r="L3" s="14"/>
      <c r="M3" s="16">
        <v>2.5000000000000001E-2</v>
      </c>
      <c r="N3" s="14"/>
      <c r="O3" s="16">
        <v>2.5000000000000001E-3</v>
      </c>
      <c r="P3">
        <f t="shared" ref="P3:P38" si="0">O3*GETPIVOTDATA("Sum of protein",$B$3,"ingredient",$J3)*GETPIVOTDATA("Sum of mean_protein_digestibility",$B$3,"ingredient",$J3)*23.6+O3*GETPIVOTDATA("Sum of lipid",$B$3,"ingredient",$J3)*GETPIVOTDATA("Sum of mean_lipid_digestibility",$B$3,"ingredient",$J3)*36.2+O3*GETPIVOTDATA("Sum of carb",$B$3,"ingredient",$J3)*GETPIVOTDATA("Sum of mean_carb_digestibility",$B$3,"ingredient",$J3)*17.2</f>
        <v>0</v>
      </c>
      <c r="Q3" s="8">
        <f>K3/SUM(K$2:K$39)</f>
        <v>2.5997400259973997E-3</v>
      </c>
      <c r="R3" s="18">
        <f t="shared" ref="R3:R38" si="1">Q3*GETPIVOTDATA("Sum of protein",$B$3,"ingredient",$J3)*GETPIVOTDATA("Sum of mean_protein_digestibility",$B$3,"ingredient",$J3)*23.6+Q3*GETPIVOTDATA("Sum of lipid",$B$3,"ingredient",$J3)*GETPIVOTDATA("Sum of mean_lipid_digestibility",$B$3,"ingredient",$J3)*36.2+Q3*GETPIVOTDATA("Sum of carb",$B$3,"ingredient",$J3)*GETPIVOTDATA("Sum of mean_carb_digestibility",$B$3,"ingredient",$J3)*17.2</f>
        <v>0</v>
      </c>
      <c r="S3" s="8">
        <f t="shared" ref="S3:S38" si="2">Q3*GETPIVOTDATA("Sum of protein",$B$3,"ingredient",$J3)*GETPIVOTDATA("Sum of mean_protein_digestibility",$B$3,"ingredient",$J3)</f>
        <v>0</v>
      </c>
      <c r="T3" s="8">
        <f>M3/SUM(M$2:M$39)</f>
        <v>2.1571331147847459E-2</v>
      </c>
      <c r="U3" s="18">
        <f t="shared" ref="U3:U38" si="3">T3*GETPIVOTDATA("Sum of protein",$B$3,"ingredient",$J3)*GETPIVOTDATA("Sum of mean_protein_digestibility",$B$3,"ingredient",$J3)*23.6+T3*GETPIVOTDATA("Sum of lipid",$B$3,"ingredient",$J3)*GETPIVOTDATA("Sum of mean_lipid_digestibility",$B$3,"ingredient",$J3)*36.2+T3*GETPIVOTDATA("Sum of carb",$B$3,"ingredient",$J3)*GETPIVOTDATA("Sum of mean_carb_digestibility",$B$3,"ingredient",$J3)*17.2</f>
        <v>0</v>
      </c>
      <c r="V3" s="8">
        <f t="shared" ref="V3:V38" si="4">T3*GETPIVOTDATA("Sum of protein",$B$3,"ingredient",$J3)*GETPIVOTDATA("Sum of mean_protein_digestibility",$B$3,"ingredient",$J3)</f>
        <v>0</v>
      </c>
      <c r="W3" s="8">
        <f>O3/SUM(O$2:O$39)</f>
        <v>2.6758309066129467E-3</v>
      </c>
      <c r="X3" s="18">
        <f t="shared" ref="X3:X38" si="5">W3*GETPIVOTDATA("Sum of protein",$B$3,"ingredient",$J3)*GETPIVOTDATA("Sum of mean_protein_digestibility",$B$3,"ingredient",$J3)*23.6+W3*GETPIVOTDATA("Sum of lipid",$B$3,"ingredient",$J3)*GETPIVOTDATA("Sum of mean_lipid_digestibility",$B$3,"ingredient",$J3)*36.2+W3*GETPIVOTDATA("Sum of carb",$B$3,"ingredient",$J3)*GETPIVOTDATA("Sum of mean_carb_digestibility",$B$3,"ingredient",$J3)*17.2</f>
        <v>0</v>
      </c>
      <c r="Y3" s="8">
        <f t="shared" ref="Y3:Y38" si="6">W3*GETPIVOTDATA("Sum of protein",$B$3,"ingredient",$J3)*GETPIVOTDATA("Sum of mean_protein_digestibility",$B$3,"ingredient",$J3)</f>
        <v>0</v>
      </c>
    </row>
    <row r="4" spans="2:25" x14ac:dyDescent="0.3">
      <c r="B4" s="7" t="s">
        <v>47</v>
      </c>
      <c r="C4">
        <v>0</v>
      </c>
      <c r="D4">
        <v>0</v>
      </c>
      <c r="E4">
        <v>1</v>
      </c>
      <c r="F4">
        <v>0.95176181599999998</v>
      </c>
      <c r="G4">
        <v>0</v>
      </c>
      <c r="H4">
        <v>0</v>
      </c>
      <c r="J4" t="s">
        <v>1</v>
      </c>
      <c r="K4" s="14"/>
      <c r="L4" s="14">
        <f t="shared" ref="L4:L38" si="7">K4*GETPIVOTDATA("Sum of protein",$B$3,"ingredient",$J4)*GETPIVOTDATA("Sum of mean_protein_digestibility",$B$3,"ingredient",$J4)*23.6+K4*GETPIVOTDATA("Sum of lipid",$B$3,"ingredient",$J4)*GETPIVOTDATA("Sum of mean_lipid_digestibility",$B$3,"ingredient",$J4)*36.2+K4*GETPIVOTDATA("Sum of carb",$B$3,"ingredient",$J4)*GETPIVOTDATA("Sum of mean_carb_digestibility",$B$3,"ingredient",$J4)*17.2</f>
        <v>0</v>
      </c>
      <c r="M4" s="14"/>
      <c r="N4" s="14">
        <f t="shared" ref="N4:N38" si="8">M4*GETPIVOTDATA("Sum of protein",$B$3,"ingredient",$J4)*GETPIVOTDATA("Sum of mean_protein_digestibility",$B$3,"ingredient",$J4)*23.6+M4*GETPIVOTDATA("Sum of lipid",$B$3,"ingredient",$J4)*GETPIVOTDATA("Sum of mean_lipid_digestibility",$B$3,"ingredient",$J4)*36.2+M4*GETPIVOTDATA("Sum of carb",$B$3,"ingredient",$J4)*GETPIVOTDATA("Sum of mean_carb_digestibility",$B$3,"ingredient",$J4)*17.2</f>
        <v>0</v>
      </c>
      <c r="O4" s="14"/>
      <c r="P4">
        <f t="shared" si="0"/>
        <v>0</v>
      </c>
      <c r="Q4" s="8"/>
      <c r="R4" s="18">
        <f t="shared" si="1"/>
        <v>0</v>
      </c>
      <c r="S4" s="8">
        <f t="shared" si="2"/>
        <v>0</v>
      </c>
      <c r="T4" s="8"/>
      <c r="U4" s="18">
        <f t="shared" si="3"/>
        <v>0</v>
      </c>
      <c r="V4" s="8">
        <f t="shared" si="4"/>
        <v>0</v>
      </c>
      <c r="W4" s="8"/>
      <c r="X4" s="18">
        <f t="shared" si="5"/>
        <v>0</v>
      </c>
      <c r="Y4" s="8">
        <f t="shared" si="6"/>
        <v>0</v>
      </c>
    </row>
    <row r="5" spans="2:25" x14ac:dyDescent="0.3">
      <c r="B5" s="7" t="s">
        <v>48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J5" t="s">
        <v>2</v>
      </c>
      <c r="K5" s="14"/>
      <c r="L5" s="14">
        <f t="shared" si="7"/>
        <v>0</v>
      </c>
      <c r="M5" s="14"/>
      <c r="N5" s="14">
        <f t="shared" si="8"/>
        <v>0</v>
      </c>
      <c r="O5" s="14"/>
      <c r="P5">
        <f t="shared" si="0"/>
        <v>0</v>
      </c>
      <c r="Q5" s="8"/>
      <c r="R5" s="18">
        <f t="shared" si="1"/>
        <v>0</v>
      </c>
      <c r="S5" s="8">
        <f t="shared" si="2"/>
        <v>0</v>
      </c>
      <c r="T5" s="8"/>
      <c r="U5" s="18">
        <f t="shared" si="3"/>
        <v>0</v>
      </c>
      <c r="V5" s="8">
        <f t="shared" si="4"/>
        <v>0</v>
      </c>
      <c r="W5" s="8"/>
      <c r="X5" s="18">
        <f t="shared" si="5"/>
        <v>0</v>
      </c>
      <c r="Y5" s="8">
        <f t="shared" si="6"/>
        <v>0</v>
      </c>
    </row>
    <row r="6" spans="2:25" x14ac:dyDescent="0.3">
      <c r="B6" s="7" t="s">
        <v>1</v>
      </c>
      <c r="C6">
        <v>0.53500000000000003</v>
      </c>
      <c r="D6">
        <v>0.86264614774680892</v>
      </c>
      <c r="E6">
        <v>0.224</v>
      </c>
      <c r="F6">
        <v>0.93</v>
      </c>
      <c r="G6">
        <v>0.11099999999999999</v>
      </c>
      <c r="H6">
        <v>0.41000000000000003</v>
      </c>
      <c r="J6" t="s">
        <v>3</v>
      </c>
      <c r="K6" s="14">
        <v>0.23649999999999999</v>
      </c>
      <c r="L6" s="14">
        <f t="shared" si="7"/>
        <v>8.1483184353207996</v>
      </c>
      <c r="M6" s="14">
        <v>0.34304563152606715</v>
      </c>
      <c r="N6" s="14">
        <f t="shared" si="8"/>
        <v>11.819217943002618</v>
      </c>
      <c r="O6" s="14">
        <v>0.10478923099049167</v>
      </c>
      <c r="P6">
        <f t="shared" si="0"/>
        <v>3.6103848740080888</v>
      </c>
      <c r="Q6" s="8">
        <f>K6/SUM(K$2:K$39)</f>
        <v>0.23647635236476347</v>
      </c>
      <c r="R6" s="18">
        <f t="shared" si="1"/>
        <v>8.1475036849523033</v>
      </c>
      <c r="S6" s="8">
        <f t="shared" si="2"/>
        <v>0</v>
      </c>
      <c r="T6" s="8">
        <f>M6/SUM(M$2:M$39)</f>
        <v>0.29599803665885016</v>
      </c>
      <c r="U6" s="18">
        <f t="shared" si="3"/>
        <v>10.198250566283598</v>
      </c>
      <c r="V6" s="8">
        <f t="shared" si="4"/>
        <v>0</v>
      </c>
      <c r="W6" s="8">
        <f>O6/SUM(O$2:O$39)</f>
        <v>0.11215930518582433</v>
      </c>
      <c r="X6" s="18">
        <f t="shared" si="5"/>
        <v>3.8643117722554936</v>
      </c>
      <c r="Y6" s="8">
        <f t="shared" si="6"/>
        <v>0</v>
      </c>
    </row>
    <row r="7" spans="2:25" x14ac:dyDescent="0.3">
      <c r="B7" s="7" t="s">
        <v>2</v>
      </c>
      <c r="C7">
        <v>0.32700000000000001</v>
      </c>
      <c r="D7">
        <v>0.91108708069547573</v>
      </c>
      <c r="E7">
        <v>0.13</v>
      </c>
      <c r="F7">
        <v>0.93</v>
      </c>
      <c r="G7">
        <v>0.46672719298245613</v>
      </c>
      <c r="H7">
        <v>0.68600000000000005</v>
      </c>
      <c r="J7" t="s">
        <v>4</v>
      </c>
      <c r="K7" s="14"/>
      <c r="L7" s="14"/>
      <c r="M7" s="14"/>
      <c r="N7" s="14"/>
      <c r="O7" s="14"/>
      <c r="Q7" s="8"/>
      <c r="R7" s="18"/>
      <c r="S7" s="8"/>
      <c r="T7" s="8"/>
      <c r="U7" s="18"/>
      <c r="V7" s="8"/>
      <c r="W7" s="8"/>
      <c r="X7" s="18"/>
      <c r="Y7" s="8"/>
    </row>
    <row r="8" spans="2:25" x14ac:dyDescent="0.3">
      <c r="B8" s="7" t="s">
        <v>3</v>
      </c>
      <c r="C8">
        <v>0</v>
      </c>
      <c r="D8">
        <v>0</v>
      </c>
      <c r="E8">
        <v>1</v>
      </c>
      <c r="F8">
        <v>0.95176181599999998</v>
      </c>
      <c r="G8">
        <v>0</v>
      </c>
      <c r="H8">
        <v>0</v>
      </c>
      <c r="J8" t="s">
        <v>5</v>
      </c>
      <c r="K8" s="14"/>
      <c r="L8" s="14"/>
      <c r="M8" s="14"/>
      <c r="N8" s="14"/>
      <c r="O8" s="14"/>
      <c r="Q8" s="8"/>
      <c r="R8" s="18"/>
      <c r="S8" s="8"/>
      <c r="T8" s="8"/>
      <c r="U8" s="18"/>
      <c r="V8" s="8"/>
      <c r="W8" s="8"/>
      <c r="X8" s="18"/>
      <c r="Y8" s="8"/>
    </row>
    <row r="9" spans="2:25" x14ac:dyDescent="0.3">
      <c r="B9" s="7" t="s">
        <v>7</v>
      </c>
      <c r="C9">
        <v>0.86849038461538397</v>
      </c>
      <c r="D9">
        <v>0.86596964644311503</v>
      </c>
      <c r="E9">
        <v>6.7799419E-2</v>
      </c>
      <c r="F9">
        <v>0.93708838073277401</v>
      </c>
      <c r="G9">
        <v>1.3710196384616014E-2</v>
      </c>
      <c r="H9">
        <v>0.78</v>
      </c>
      <c r="J9" t="s">
        <v>6</v>
      </c>
      <c r="K9" s="14"/>
      <c r="L9" s="14"/>
      <c r="M9" s="14"/>
      <c r="N9" s="14"/>
      <c r="O9" s="14"/>
      <c r="Q9" s="8"/>
      <c r="R9" s="18"/>
      <c r="S9" s="8"/>
      <c r="T9" s="8"/>
      <c r="U9" s="18"/>
      <c r="V9" s="8"/>
      <c r="W9" s="8"/>
      <c r="X9" s="18"/>
      <c r="Y9" s="8"/>
    </row>
    <row r="10" spans="2:25" x14ac:dyDescent="0.3">
      <c r="B10" s="7" t="s">
        <v>8</v>
      </c>
      <c r="C10">
        <v>0.73424999999999996</v>
      </c>
      <c r="D10">
        <v>0.87984013184420995</v>
      </c>
      <c r="E10">
        <v>8.3000000000000004E-2</v>
      </c>
      <c r="F10">
        <v>0.95670948993092597</v>
      </c>
      <c r="G10">
        <v>4.3750000000000067E-2</v>
      </c>
      <c r="H10">
        <v>0.83299999999999996</v>
      </c>
      <c r="J10" t="s">
        <v>7</v>
      </c>
      <c r="K10" s="14">
        <v>2.6599999999999999E-2</v>
      </c>
      <c r="L10" s="14">
        <f>K10*GETPIVOTDATA("Sum of protein",$B$3,"ingredient",$J10)*GETPIVOTDATA("Sum of mean_protein_digestibility",$B$3,"ingredient",$J10)*23.6+K10*GETPIVOTDATA("Sum of lipid",$B$3,"ingredient",$J10)*GETPIVOTDATA("Sum of mean_lipid_digestibility",$B$3,"ingredient",$J10)*36.2+K10*GETPIVOTDATA("Sum of carb",$B$3,"ingredient",$J10)*GETPIVOTDATA("Sum of mean_carb_digestibility",$B$3,"ingredient",$J10)*17.2</f>
        <v>0.5382006055177021</v>
      </c>
      <c r="M10" s="14"/>
      <c r="N10" s="14">
        <f t="shared" si="8"/>
        <v>0</v>
      </c>
      <c r="O10" s="14">
        <v>1.7100000000000001E-2</v>
      </c>
      <c r="P10">
        <f t="shared" si="0"/>
        <v>0.34598610354709419</v>
      </c>
      <c r="Q10" s="8">
        <f>K10/SUM(K$2:K$39)</f>
        <v>2.6597340265973397E-2</v>
      </c>
      <c r="R10" s="18">
        <f t="shared" si="1"/>
        <v>0.53814679083861816</v>
      </c>
      <c r="S10" s="8">
        <f t="shared" si="2"/>
        <v>2.0003495531150012E-2</v>
      </c>
      <c r="T10" s="8"/>
      <c r="U10" s="18">
        <f t="shared" si="3"/>
        <v>0</v>
      </c>
      <c r="V10" s="8">
        <f t="shared" si="4"/>
        <v>0</v>
      </c>
      <c r="W10" s="8">
        <f>O10/SUM(O$2:O$39)</f>
        <v>1.8302683401232554E-2</v>
      </c>
      <c r="X10" s="18">
        <f t="shared" si="5"/>
        <v>0.37032012365196071</v>
      </c>
      <c r="Y10" s="8">
        <f t="shared" si="6"/>
        <v>1.3765197646209452E-2</v>
      </c>
    </row>
    <row r="11" spans="2:25" x14ac:dyDescent="0.3">
      <c r="B11" s="7" t="s">
        <v>9</v>
      </c>
      <c r="C11">
        <v>0.73424999999999996</v>
      </c>
      <c r="D11">
        <v>0.87984013184420995</v>
      </c>
      <c r="E11">
        <v>8.3000000000000004E-2</v>
      </c>
      <c r="F11">
        <v>0.95670948993092597</v>
      </c>
      <c r="G11">
        <v>4.3750000000000067E-2</v>
      </c>
      <c r="H11">
        <v>0.81700000000000006</v>
      </c>
      <c r="J11" t="s">
        <v>8</v>
      </c>
      <c r="K11" s="14">
        <v>0.22499999999999998</v>
      </c>
      <c r="L11" s="14">
        <f t="shared" si="7"/>
        <v>4.2181865077685581</v>
      </c>
      <c r="M11" s="14">
        <v>4.2187499999999996E-2</v>
      </c>
      <c r="N11" s="14">
        <f t="shared" si="8"/>
        <v>0.7909099702066047</v>
      </c>
      <c r="O11" s="14">
        <v>4.2187499999999996E-2</v>
      </c>
      <c r="P11">
        <f t="shared" si="0"/>
        <v>0.7909099702066047</v>
      </c>
      <c r="Q11" s="8">
        <f>K11/SUM(K$2:K$39)</f>
        <v>0.22497750224977495</v>
      </c>
      <c r="R11" s="18">
        <f t="shared" si="1"/>
        <v>4.2177647312954285</v>
      </c>
      <c r="S11" s="8">
        <f t="shared" si="2"/>
        <v>0.14534055472601484</v>
      </c>
      <c r="T11" s="8">
        <f>M11/SUM(M$2:M$39)</f>
        <v>3.640162131199258E-2</v>
      </c>
      <c r="U11" s="18">
        <f t="shared" si="3"/>
        <v>0.68243923501843351</v>
      </c>
      <c r="V11" s="8">
        <f t="shared" si="4"/>
        <v>2.3516270655976751E-2</v>
      </c>
      <c r="W11" s="8">
        <f>O11/SUM(O$2:O$39)</f>
        <v>4.5154646549093472E-2</v>
      </c>
      <c r="X11" s="18">
        <f t="shared" si="5"/>
        <v>0.84653653705086307</v>
      </c>
      <c r="Y11" s="8">
        <f t="shared" si="6"/>
        <v>2.9170922924622977E-2</v>
      </c>
    </row>
    <row r="12" spans="2:25" x14ac:dyDescent="0.3">
      <c r="B12" s="7" t="s">
        <v>10</v>
      </c>
      <c r="C12">
        <v>0</v>
      </c>
      <c r="D12">
        <v>0</v>
      </c>
      <c r="E12">
        <v>1</v>
      </c>
      <c r="F12">
        <v>0.95670948993092597</v>
      </c>
      <c r="G12">
        <v>0</v>
      </c>
      <c r="H12">
        <v>0</v>
      </c>
      <c r="J12" t="s">
        <v>9</v>
      </c>
      <c r="K12" s="14">
        <v>7.4999999999999997E-2</v>
      </c>
      <c r="L12" s="14">
        <f t="shared" si="7"/>
        <v>1.4051591692561862</v>
      </c>
      <c r="M12" s="14">
        <v>1.4062499999999999E-2</v>
      </c>
      <c r="N12" s="14">
        <f t="shared" si="8"/>
        <v>0.26346734423553492</v>
      </c>
      <c r="O12" s="14">
        <v>1.4062499999999999E-2</v>
      </c>
      <c r="P12">
        <f t="shared" si="0"/>
        <v>0.26346734423553492</v>
      </c>
      <c r="Q12" s="8">
        <f>K12/SUM(K$2:K$39)</f>
        <v>7.4992500749924987E-2</v>
      </c>
      <c r="R12" s="18">
        <f t="shared" si="1"/>
        <v>1.4050186673894471</v>
      </c>
      <c r="S12" s="8">
        <f t="shared" si="2"/>
        <v>4.8446851575338283E-2</v>
      </c>
      <c r="T12" s="8">
        <f>M12/SUM(M$2:M$39)</f>
        <v>1.2133873770664194E-2</v>
      </c>
      <c r="U12" s="18">
        <f t="shared" si="3"/>
        <v>0.2273336531659457</v>
      </c>
      <c r="V12" s="8">
        <f t="shared" si="4"/>
        <v>7.8387568853255842E-3</v>
      </c>
      <c r="W12" s="8">
        <f>O12/SUM(O$2:O$39)</f>
        <v>1.5051548849697824E-2</v>
      </c>
      <c r="X12" s="18">
        <f t="shared" si="5"/>
        <v>0.28199762503547071</v>
      </c>
      <c r="Y12" s="8">
        <f t="shared" si="6"/>
        <v>9.7236409748743258E-3</v>
      </c>
    </row>
    <row r="13" spans="2:25" x14ac:dyDescent="0.3">
      <c r="B13" s="7" t="s">
        <v>11</v>
      </c>
      <c r="C13">
        <v>0</v>
      </c>
      <c r="D13">
        <v>0</v>
      </c>
      <c r="E13">
        <v>1</v>
      </c>
      <c r="F13">
        <v>0.95670948993092597</v>
      </c>
      <c r="G13">
        <v>0</v>
      </c>
      <c r="H13">
        <v>0</v>
      </c>
      <c r="J13" t="s">
        <v>10</v>
      </c>
      <c r="K13" s="14">
        <v>5.7675000000000004E-2</v>
      </c>
      <c r="L13" s="14">
        <f t="shared" si="7"/>
        <v>1.997451557909935</v>
      </c>
      <c r="M13" s="14">
        <v>3.4050000000000004E-2</v>
      </c>
      <c r="N13" s="14">
        <f t="shared" si="8"/>
        <v>1.1792496843837588</v>
      </c>
      <c r="O13" s="14">
        <v>4.5900000000000003E-2</v>
      </c>
      <c r="P13">
        <f t="shared" si="0"/>
        <v>1.5896493542794283</v>
      </c>
      <c r="Q13" s="8">
        <f>K13/SUM(K$2:K$39)</f>
        <v>5.7669233076692319E-2</v>
      </c>
      <c r="R13" s="18">
        <f t="shared" si="1"/>
        <v>1.997251832726662</v>
      </c>
      <c r="S13" s="8">
        <f t="shared" si="2"/>
        <v>0</v>
      </c>
      <c r="T13" s="8">
        <f>M13/SUM(M$2:M$39)</f>
        <v>2.9380153023368241E-2</v>
      </c>
      <c r="U13" s="18">
        <f t="shared" si="3"/>
        <v>1.0175194179134666</v>
      </c>
      <c r="V13" s="8">
        <f t="shared" si="4"/>
        <v>0</v>
      </c>
      <c r="W13" s="8">
        <f>O13/SUM(O$2:O$39)</f>
        <v>4.9128255445413702E-2</v>
      </c>
      <c r="X13" s="18">
        <f t="shared" si="5"/>
        <v>1.7014531491432829</v>
      </c>
      <c r="Y13" s="8">
        <f t="shared" si="6"/>
        <v>0</v>
      </c>
    </row>
    <row r="14" spans="2:25" x14ac:dyDescent="0.3">
      <c r="B14" s="7" t="s">
        <v>12</v>
      </c>
      <c r="C14">
        <v>0.42</v>
      </c>
      <c r="D14">
        <v>0.63000000000000012</v>
      </c>
      <c r="E14">
        <v>5.2999999999999999E-2</v>
      </c>
      <c r="F14">
        <v>0.95176181599999998</v>
      </c>
      <c r="G14">
        <v>0.46899999999999997</v>
      </c>
      <c r="H14">
        <v>0.71</v>
      </c>
      <c r="J14" t="s">
        <v>11</v>
      </c>
      <c r="K14" s="14">
        <v>1.9225000000000003E-2</v>
      </c>
      <c r="L14" s="14">
        <f t="shared" si="7"/>
        <v>0.66581718596997841</v>
      </c>
      <c r="M14" s="14">
        <v>1.1350000000000001E-2</v>
      </c>
      <c r="N14" s="14">
        <f t="shared" si="8"/>
        <v>0.39308322812791963</v>
      </c>
      <c r="O14" s="14">
        <v>1.5300000000000001E-2</v>
      </c>
      <c r="P14">
        <f t="shared" si="0"/>
        <v>0.52988311809314281</v>
      </c>
      <c r="Q14" s="8">
        <f>K14/SUM(K$2:K$39)</f>
        <v>1.9223077692230774E-2</v>
      </c>
      <c r="R14" s="18">
        <f t="shared" si="1"/>
        <v>0.66575061090888732</v>
      </c>
      <c r="S14" s="8">
        <f t="shared" si="2"/>
        <v>0</v>
      </c>
      <c r="T14" s="8">
        <f>M14/SUM(M$2:M$39)</f>
        <v>9.7933843411227468E-3</v>
      </c>
      <c r="U14" s="18">
        <f t="shared" si="3"/>
        <v>0.33917313930448884</v>
      </c>
      <c r="V14" s="8">
        <f t="shared" si="4"/>
        <v>0</v>
      </c>
      <c r="W14" s="8">
        <f>O14/SUM(O$2:O$39)</f>
        <v>1.6376085148471234E-2</v>
      </c>
      <c r="X14" s="18">
        <f t="shared" si="5"/>
        <v>0.56715104971442765</v>
      </c>
      <c r="Y14" s="8">
        <f t="shared" si="6"/>
        <v>0</v>
      </c>
    </row>
    <row r="15" spans="2:25" x14ac:dyDescent="0.3">
      <c r="B15" s="7" t="s">
        <v>49</v>
      </c>
      <c r="C15">
        <v>0.93</v>
      </c>
      <c r="D15">
        <v>0.622</v>
      </c>
      <c r="E15">
        <v>7.0000000000000007E-2</v>
      </c>
      <c r="F15">
        <v>0.95176181599999998</v>
      </c>
      <c r="G15">
        <v>0</v>
      </c>
      <c r="H15">
        <v>0.60399999999999998</v>
      </c>
      <c r="J15" t="s">
        <v>12</v>
      </c>
      <c r="K15" s="14"/>
      <c r="L15" s="14">
        <f t="shared" si="7"/>
        <v>0</v>
      </c>
      <c r="M15" s="14">
        <v>0.17</v>
      </c>
      <c r="N15" s="14">
        <f t="shared" si="8"/>
        <v>2.3456664974301922</v>
      </c>
      <c r="O15" s="14"/>
      <c r="P15">
        <f t="shared" si="0"/>
        <v>0</v>
      </c>
      <c r="Q15" s="8"/>
      <c r="R15" s="18">
        <f t="shared" si="1"/>
        <v>0</v>
      </c>
      <c r="S15" s="8">
        <f t="shared" si="2"/>
        <v>0</v>
      </c>
      <c r="T15" s="8">
        <f>M15/SUM(M$2:M$39)</f>
        <v>0.14668505180536273</v>
      </c>
      <c r="U15" s="18">
        <f t="shared" si="3"/>
        <v>2.0239659511391261</v>
      </c>
      <c r="V15" s="8">
        <f t="shared" si="4"/>
        <v>3.8812864707698985E-2</v>
      </c>
      <c r="W15" s="8"/>
      <c r="X15" s="18">
        <f t="shared" si="5"/>
        <v>0</v>
      </c>
      <c r="Y15" s="8">
        <f t="shared" si="6"/>
        <v>0</v>
      </c>
    </row>
    <row r="16" spans="2:25" x14ac:dyDescent="0.3">
      <c r="B16" s="7" t="s">
        <v>14</v>
      </c>
      <c r="C16">
        <v>0.55099999999999993</v>
      </c>
      <c r="D16">
        <v>0.877686516894431</v>
      </c>
      <c r="E16">
        <v>0.2692252</v>
      </c>
      <c r="F16">
        <v>0.95114829052565797</v>
      </c>
      <c r="G16">
        <v>4.08748000000001E-2</v>
      </c>
      <c r="H16">
        <v>0.59399999999999997</v>
      </c>
      <c r="J16" t="s">
        <v>13</v>
      </c>
      <c r="K16" s="14"/>
      <c r="L16" s="14"/>
      <c r="M16" s="14"/>
      <c r="N16" s="14"/>
      <c r="O16" s="14"/>
      <c r="Q16" s="8"/>
      <c r="R16" s="18"/>
      <c r="S16" s="8"/>
      <c r="T16" s="8"/>
      <c r="U16" s="18"/>
      <c r="V16" s="8"/>
      <c r="W16" s="8"/>
      <c r="X16" s="18"/>
      <c r="Y16" s="8"/>
    </row>
    <row r="17" spans="2:25" x14ac:dyDescent="0.3">
      <c r="B17" s="7" t="s">
        <v>16</v>
      </c>
      <c r="C17">
        <v>0.53783333333333327</v>
      </c>
      <c r="D17">
        <v>0.83030542718534806</v>
      </c>
      <c r="E17">
        <v>0.13249432999999999</v>
      </c>
      <c r="F17">
        <v>0.93189462648181998</v>
      </c>
      <c r="G17">
        <v>2.4672336666666794E-2</v>
      </c>
      <c r="H17">
        <v>0.68700000000000006</v>
      </c>
      <c r="J17" t="s">
        <v>49</v>
      </c>
      <c r="K17" s="14"/>
      <c r="L17" s="14">
        <f t="shared" si="7"/>
        <v>0</v>
      </c>
      <c r="M17" s="14"/>
      <c r="N17" s="14">
        <f t="shared" si="8"/>
        <v>0</v>
      </c>
      <c r="O17" s="14">
        <v>1.83E-2</v>
      </c>
      <c r="P17">
        <f t="shared" si="0"/>
        <v>0.29396059408391528</v>
      </c>
      <c r="Q17" s="8"/>
      <c r="R17" s="18">
        <f t="shared" si="1"/>
        <v>0</v>
      </c>
      <c r="S17" s="8">
        <f t="shared" si="2"/>
        <v>0</v>
      </c>
      <c r="T17" s="8"/>
      <c r="U17" s="18">
        <f t="shared" si="3"/>
        <v>0</v>
      </c>
      <c r="V17" s="8">
        <f t="shared" si="4"/>
        <v>0</v>
      </c>
      <c r="W17" s="8">
        <f>O17/SUM(O$2:O$39)</f>
        <v>1.9587082236406768E-2</v>
      </c>
      <c r="X17" s="18">
        <f t="shared" si="5"/>
        <v>0.31463553719041731</v>
      </c>
      <c r="Y17" s="8">
        <f t="shared" si="6"/>
        <v>1.133034359047186E-2</v>
      </c>
    </row>
    <row r="18" spans="2:25" x14ac:dyDescent="0.3">
      <c r="B18" s="7" t="s">
        <v>66</v>
      </c>
      <c r="C18">
        <v>0.56188888888888899</v>
      </c>
      <c r="D18">
        <v>0.81159790994043479</v>
      </c>
      <c r="E18">
        <v>8.6999999999999994E-2</v>
      </c>
      <c r="F18">
        <v>0.93</v>
      </c>
      <c r="G18">
        <v>0.23711111111111105</v>
      </c>
      <c r="H18">
        <v>0.68700000000000006</v>
      </c>
      <c r="J18" t="s">
        <v>14</v>
      </c>
      <c r="K18" s="14">
        <v>0.1</v>
      </c>
      <c r="L18" s="14">
        <f t="shared" si="7"/>
        <v>2.110053986034913</v>
      </c>
      <c r="M18" s="14">
        <v>1.8749999999999999E-2</v>
      </c>
      <c r="N18" s="14">
        <f t="shared" si="8"/>
        <v>0.39563512238154619</v>
      </c>
      <c r="O18" s="14">
        <v>1.8749999999999999E-2</v>
      </c>
      <c r="P18">
        <f t="shared" si="0"/>
        <v>0.39563512238154619</v>
      </c>
      <c r="Q18" s="8">
        <f>K18/SUM(K$2:K$39)</f>
        <v>9.9990000999899992E-2</v>
      </c>
      <c r="R18" s="18">
        <f t="shared" si="1"/>
        <v>2.1098430017347396</v>
      </c>
      <c r="S18" s="8">
        <f t="shared" si="2"/>
        <v>4.8355691511731962E-2</v>
      </c>
      <c r="T18" s="8">
        <f>M18/SUM(M$2:M$39)</f>
        <v>1.6178498360885592E-2</v>
      </c>
      <c r="U18" s="18">
        <f t="shared" si="3"/>
        <v>0.34137504954445952</v>
      </c>
      <c r="V18" s="8">
        <f t="shared" si="4"/>
        <v>7.8240070810963128E-3</v>
      </c>
      <c r="W18" s="8">
        <f>O18/SUM(O$2:O$39)</f>
        <v>2.00687317995971E-2</v>
      </c>
      <c r="X18" s="18">
        <f t="shared" si="5"/>
        <v>0.42346107528405474</v>
      </c>
      <c r="Y18" s="8">
        <f t="shared" si="6"/>
        <v>9.7053444767339625E-3</v>
      </c>
    </row>
    <row r="19" spans="2:25" x14ac:dyDescent="0.3">
      <c r="B19" s="7" t="s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J19" t="s">
        <v>15</v>
      </c>
      <c r="K19" s="14"/>
      <c r="L19" s="14"/>
      <c r="M19" s="14"/>
      <c r="N19" s="14"/>
      <c r="O19" s="14"/>
      <c r="Q19" s="8"/>
      <c r="R19" s="18"/>
      <c r="S19" s="8"/>
      <c r="T19" s="8"/>
      <c r="U19" s="18"/>
      <c r="V19" s="8"/>
      <c r="W19" s="8"/>
      <c r="X19" s="18"/>
      <c r="Y19" s="8"/>
    </row>
    <row r="20" spans="2:25" x14ac:dyDescent="0.3">
      <c r="B20" s="7" t="s">
        <v>18</v>
      </c>
      <c r="C20">
        <v>0.62166666666666659</v>
      </c>
      <c r="D20">
        <v>0.78638081783306735</v>
      </c>
      <c r="E20">
        <v>0.122</v>
      </c>
      <c r="F20">
        <v>0.93</v>
      </c>
      <c r="G20">
        <v>0.14233333333333342</v>
      </c>
      <c r="H20">
        <v>0.68900000000000006</v>
      </c>
      <c r="J20" t="s">
        <v>130</v>
      </c>
      <c r="K20" s="14"/>
      <c r="L20" s="14">
        <f t="shared" si="7"/>
        <v>0</v>
      </c>
      <c r="M20" s="14">
        <v>1.6E-2</v>
      </c>
      <c r="N20" s="14">
        <f t="shared" si="8"/>
        <v>0.30791562569726894</v>
      </c>
      <c r="O20" s="14"/>
      <c r="P20">
        <f t="shared" si="0"/>
        <v>0</v>
      </c>
      <c r="Q20" s="8"/>
      <c r="R20" s="18">
        <f t="shared" si="1"/>
        <v>0</v>
      </c>
      <c r="S20" s="8">
        <f t="shared" si="2"/>
        <v>0</v>
      </c>
      <c r="T20" s="8">
        <f>M20/SUM(M$2:M$39)</f>
        <v>1.3805651934622375E-2</v>
      </c>
      <c r="U20" s="18">
        <f t="shared" si="3"/>
        <v>0.26568599710049745</v>
      </c>
      <c r="V20" s="8">
        <f t="shared" si="4"/>
        <v>5.14009340727733E-3</v>
      </c>
      <c r="W20" s="8"/>
      <c r="X20" s="18">
        <f t="shared" si="5"/>
        <v>0</v>
      </c>
      <c r="Y20" s="8">
        <f t="shared" si="6"/>
        <v>0</v>
      </c>
    </row>
    <row r="21" spans="2:25" x14ac:dyDescent="0.3">
      <c r="B21" s="7" t="s">
        <v>20</v>
      </c>
      <c r="C21">
        <v>0.84</v>
      </c>
      <c r="D21">
        <v>0.88</v>
      </c>
      <c r="E21">
        <v>0.05</v>
      </c>
      <c r="F21">
        <v>0.95176181599999998</v>
      </c>
      <c r="G21">
        <v>7.0000000000000007E-2</v>
      </c>
      <c r="H21">
        <v>0.77</v>
      </c>
      <c r="J21" t="s">
        <v>16</v>
      </c>
      <c r="K21" s="14"/>
      <c r="L21" s="14">
        <f t="shared" si="7"/>
        <v>0</v>
      </c>
      <c r="M21" s="14"/>
      <c r="N21" s="14">
        <f t="shared" si="8"/>
        <v>0</v>
      </c>
      <c r="O21" s="14">
        <v>0.1</v>
      </c>
      <c r="P21">
        <f t="shared" si="0"/>
        <v>1.530013557968172</v>
      </c>
      <c r="Q21" s="8"/>
      <c r="R21" s="18">
        <f t="shared" si="1"/>
        <v>0</v>
      </c>
      <c r="S21" s="8">
        <f t="shared" si="2"/>
        <v>0</v>
      </c>
      <c r="T21" s="8"/>
      <c r="U21" s="18">
        <f t="shared" si="3"/>
        <v>0</v>
      </c>
      <c r="V21" s="8">
        <f t="shared" si="4"/>
        <v>0</v>
      </c>
      <c r="W21" s="8">
        <f>O21/SUM(O$2:O$39)</f>
        <v>0.10703323626451787</v>
      </c>
      <c r="X21" s="18">
        <f t="shared" si="5"/>
        <v>1.6376230263792295</v>
      </c>
      <c r="Y21" s="8">
        <f t="shared" si="6"/>
        <v>4.7797397291460139E-2</v>
      </c>
    </row>
    <row r="22" spans="2:25" x14ac:dyDescent="0.3">
      <c r="B22" s="7" t="s">
        <v>21</v>
      </c>
      <c r="C22">
        <v>0.72292857142857125</v>
      </c>
      <c r="D22">
        <v>0.86610883281803497</v>
      </c>
      <c r="E22">
        <v>0.11689690000000001</v>
      </c>
      <c r="F22">
        <v>0.94897384021576103</v>
      </c>
      <c r="G22">
        <v>5.4174528571428793E-2</v>
      </c>
      <c r="H22">
        <v>0.68899999999999995</v>
      </c>
      <c r="J22" t="s">
        <v>17</v>
      </c>
      <c r="K22" s="16">
        <v>1.0999999999999999E-2</v>
      </c>
      <c r="L22" s="14"/>
      <c r="M22" s="16">
        <v>0.02</v>
      </c>
      <c r="N22" s="14"/>
      <c r="O22" s="16">
        <v>1.12E-2</v>
      </c>
      <c r="P22">
        <f t="shared" si="0"/>
        <v>0</v>
      </c>
      <c r="Q22" s="8">
        <f>K22/SUM(K$2:K$39)</f>
        <v>1.0998900109988998E-2</v>
      </c>
      <c r="R22" s="18">
        <f t="shared" si="1"/>
        <v>0</v>
      </c>
      <c r="S22" s="8">
        <f t="shared" si="2"/>
        <v>0</v>
      </c>
      <c r="T22" s="8">
        <f>M22/SUM(M$2:M$39)</f>
        <v>1.7257064918277967E-2</v>
      </c>
      <c r="U22" s="18">
        <f t="shared" si="3"/>
        <v>0</v>
      </c>
      <c r="V22" s="8">
        <f t="shared" si="4"/>
        <v>0</v>
      </c>
      <c r="W22" s="8">
        <f>O22/SUM(O$2:O$39)</f>
        <v>1.1987722461626001E-2</v>
      </c>
      <c r="X22" s="18">
        <f t="shared" si="5"/>
        <v>0</v>
      </c>
      <c r="Y22" s="8">
        <f t="shared" si="6"/>
        <v>0</v>
      </c>
    </row>
    <row r="23" spans="2:25" x14ac:dyDescent="0.3">
      <c r="B23" s="7" t="s">
        <v>51</v>
      </c>
      <c r="C23">
        <v>0</v>
      </c>
      <c r="D23">
        <v>0</v>
      </c>
      <c r="E23">
        <v>1</v>
      </c>
      <c r="F23">
        <v>0.96578520322974404</v>
      </c>
      <c r="G23">
        <v>0</v>
      </c>
      <c r="H23">
        <v>0</v>
      </c>
      <c r="J23" t="s">
        <v>18</v>
      </c>
      <c r="K23" s="14"/>
      <c r="L23" s="14">
        <f t="shared" si="7"/>
        <v>0</v>
      </c>
      <c r="M23" s="14"/>
      <c r="N23" s="14">
        <f t="shared" si="8"/>
        <v>0</v>
      </c>
      <c r="O23" s="14"/>
      <c r="P23">
        <f t="shared" si="0"/>
        <v>0</v>
      </c>
      <c r="Q23" s="8"/>
      <c r="R23" s="18">
        <f t="shared" si="1"/>
        <v>0</v>
      </c>
      <c r="S23" s="8">
        <f t="shared" si="2"/>
        <v>0</v>
      </c>
      <c r="T23" s="8"/>
      <c r="U23" s="18">
        <f t="shared" si="3"/>
        <v>0</v>
      </c>
      <c r="V23" s="8">
        <f t="shared" si="4"/>
        <v>0</v>
      </c>
      <c r="W23" s="8"/>
      <c r="X23" s="18">
        <f t="shared" si="5"/>
        <v>0</v>
      </c>
      <c r="Y23" s="8">
        <f t="shared" si="6"/>
        <v>0</v>
      </c>
    </row>
    <row r="24" spans="2:25" x14ac:dyDescent="0.3">
      <c r="B24" s="7" t="s">
        <v>52</v>
      </c>
      <c r="C24">
        <v>0.81849999999999989</v>
      </c>
      <c r="D24">
        <v>0.88381879361953897</v>
      </c>
      <c r="E24">
        <v>0.14486250000000001</v>
      </c>
      <c r="F24">
        <v>0.96578520322974404</v>
      </c>
      <c r="G24">
        <v>6.6375000000000739E-3</v>
      </c>
      <c r="H24">
        <v>0.88000000000000012</v>
      </c>
      <c r="J24" t="s">
        <v>19</v>
      </c>
      <c r="K24" s="14"/>
      <c r="L24" s="14"/>
      <c r="M24" s="14"/>
      <c r="N24" s="14"/>
      <c r="O24" s="14"/>
      <c r="Q24" s="8"/>
      <c r="R24" s="18"/>
      <c r="S24" s="8"/>
      <c r="T24" s="8"/>
      <c r="U24" s="18"/>
      <c r="V24" s="8"/>
      <c r="W24" s="8"/>
      <c r="X24" s="18"/>
      <c r="Y24" s="8"/>
    </row>
    <row r="25" spans="2:25" x14ac:dyDescent="0.3">
      <c r="B25" s="7" t="s">
        <v>23</v>
      </c>
      <c r="C25">
        <v>0.75900000000000001</v>
      </c>
      <c r="D25">
        <v>0.94144621422710895</v>
      </c>
      <c r="E25">
        <v>0.10100000000000001</v>
      </c>
      <c r="F25">
        <v>0.93</v>
      </c>
      <c r="G25">
        <v>0</v>
      </c>
      <c r="H25">
        <v>0.68000000000000016</v>
      </c>
      <c r="J25" t="s">
        <v>20</v>
      </c>
      <c r="K25" s="14"/>
      <c r="L25" s="14">
        <f t="shared" si="7"/>
        <v>0</v>
      </c>
      <c r="M25" s="14">
        <v>2.69E-2</v>
      </c>
      <c r="N25" s="14">
        <f t="shared" si="8"/>
        <v>0.54055251105922397</v>
      </c>
      <c r="O25" s="14"/>
      <c r="P25">
        <f t="shared" si="0"/>
        <v>0</v>
      </c>
      <c r="Q25" s="8"/>
      <c r="R25" s="18">
        <f t="shared" si="1"/>
        <v>0</v>
      </c>
      <c r="S25" s="8">
        <f t="shared" si="2"/>
        <v>0</v>
      </c>
      <c r="T25" s="8">
        <f>M25/SUM(M$2:M$39)</f>
        <v>2.3210752315083866E-2</v>
      </c>
      <c r="U25" s="18">
        <f t="shared" si="3"/>
        <v>0.4664174887543599</v>
      </c>
      <c r="V25" s="8">
        <f t="shared" si="4"/>
        <v>1.7157388111309995E-2</v>
      </c>
      <c r="W25" s="8"/>
      <c r="X25" s="18">
        <f t="shared" si="5"/>
        <v>0</v>
      </c>
      <c r="Y25" s="8">
        <f t="shared" si="6"/>
        <v>0</v>
      </c>
    </row>
    <row r="26" spans="2:25" x14ac:dyDescent="0.3">
      <c r="B26" s="7" t="s">
        <v>24</v>
      </c>
      <c r="C26">
        <v>0.65300000000000002</v>
      </c>
      <c r="D26">
        <v>0.8937733673883973</v>
      </c>
      <c r="E26">
        <v>0.02</v>
      </c>
      <c r="F26">
        <v>0.93</v>
      </c>
      <c r="G26">
        <v>0.2569999999999999</v>
      </c>
      <c r="H26">
        <v>0.82</v>
      </c>
      <c r="J26" t="s">
        <v>21</v>
      </c>
      <c r="K26" s="14">
        <v>3.78E-2</v>
      </c>
      <c r="L26" s="14">
        <f t="shared" si="7"/>
        <v>0.73462543462249041</v>
      </c>
      <c r="M26" s="14"/>
      <c r="N26" s="14">
        <f t="shared" si="8"/>
        <v>0</v>
      </c>
      <c r="O26" s="14">
        <v>0.25</v>
      </c>
      <c r="P26">
        <f t="shared" si="0"/>
        <v>4.8586338268683242</v>
      </c>
      <c r="Q26" s="8">
        <f>K26/SUM(K$2:K$39)</f>
        <v>3.7796220377962195E-2</v>
      </c>
      <c r="R26" s="18">
        <f t="shared" si="1"/>
        <v>0.73455197942454786</v>
      </c>
      <c r="S26" s="8">
        <f t="shared" si="2"/>
        <v>2.3665529688799706E-2</v>
      </c>
      <c r="T26" s="8"/>
      <c r="U26" s="18">
        <f t="shared" si="3"/>
        <v>0</v>
      </c>
      <c r="V26" s="8">
        <f t="shared" si="4"/>
        <v>0</v>
      </c>
      <c r="W26" s="8">
        <f>O26/SUM(O$2:O$39)</f>
        <v>0.26758309066129465</v>
      </c>
      <c r="X26" s="18">
        <f t="shared" si="5"/>
        <v>5.2003530231397574</v>
      </c>
      <c r="Y26" s="8">
        <f t="shared" si="6"/>
        <v>0.1675430906302455</v>
      </c>
    </row>
    <row r="27" spans="2:25" x14ac:dyDescent="0.3">
      <c r="B27" s="7" t="s">
        <v>26</v>
      </c>
      <c r="C27">
        <v>0.66174999999999995</v>
      </c>
      <c r="D27">
        <v>0.87600843567991205</v>
      </c>
      <c r="E27">
        <v>1.126924E-2</v>
      </c>
      <c r="F27">
        <v>0.95176181599999998</v>
      </c>
      <c r="G27">
        <v>0.25398076000000014</v>
      </c>
      <c r="H27">
        <v>0.875</v>
      </c>
      <c r="J27" t="s">
        <v>51</v>
      </c>
      <c r="K27" s="14"/>
      <c r="L27" s="14">
        <f t="shared" si="7"/>
        <v>0</v>
      </c>
      <c r="M27" s="14"/>
      <c r="N27" s="14">
        <f t="shared" si="8"/>
        <v>0</v>
      </c>
      <c r="O27" s="14">
        <v>0.1</v>
      </c>
      <c r="P27">
        <f t="shared" si="0"/>
        <v>3.4961424356916742</v>
      </c>
      <c r="Q27" s="8"/>
      <c r="R27" s="18">
        <f t="shared" si="1"/>
        <v>0</v>
      </c>
      <c r="S27" s="8">
        <f t="shared" si="2"/>
        <v>0</v>
      </c>
      <c r="T27" s="8"/>
      <c r="U27" s="18">
        <f t="shared" si="3"/>
        <v>0</v>
      </c>
      <c r="V27" s="8">
        <f t="shared" si="4"/>
        <v>0</v>
      </c>
      <c r="W27" s="8">
        <f>O27/SUM(O$2:O$39)</f>
        <v>0.10703323626451787</v>
      </c>
      <c r="X27" s="18">
        <f t="shared" si="5"/>
        <v>3.742034393337939</v>
      </c>
      <c r="Y27" s="8">
        <f t="shared" si="6"/>
        <v>0</v>
      </c>
    </row>
    <row r="28" spans="2:25" x14ac:dyDescent="0.3">
      <c r="B28" s="7" t="s">
        <v>31</v>
      </c>
      <c r="C28">
        <v>0.13</v>
      </c>
      <c r="D28">
        <v>0.9</v>
      </c>
      <c r="E28">
        <v>0.02</v>
      </c>
      <c r="F28">
        <v>0.95176181599999998</v>
      </c>
      <c r="G28">
        <v>0.83000000000000007</v>
      </c>
      <c r="H28">
        <v>0.8</v>
      </c>
      <c r="J28" t="s">
        <v>52</v>
      </c>
      <c r="K28" s="14"/>
      <c r="L28" s="14">
        <f t="shared" si="7"/>
        <v>0</v>
      </c>
      <c r="M28" s="14"/>
      <c r="N28" s="14">
        <f t="shared" si="8"/>
        <v>0</v>
      </c>
      <c r="O28" s="14">
        <v>4.4999999999999998E-2</v>
      </c>
      <c r="P28">
        <f>O28*GETPIVOTDATA("Sum of protein",$B$3,"ingredient",$J28)*GETPIVOTDATA("Sum of mean_protein_digestibility",$B$3,"ingredient",$J28)*23.6+O28*GETPIVOTDATA("Sum of lipid",$B$3,"ingredient",$J28)*GETPIVOTDATA("Sum of mean_lipid_digestibility",$B$3,"ingredient",$J28)*36.2+O28*GETPIVOTDATA("Sum of carb",$B$3,"ingredient",$J28)*GETPIVOTDATA("Sum of mean_carb_digestibility",$B$3,"ingredient",$J28)*17.2</f>
        <v>1.0006847390130766</v>
      </c>
      <c r="Q28" s="8"/>
      <c r="R28" s="18">
        <f t="shared" si="1"/>
        <v>0</v>
      </c>
      <c r="S28" s="8">
        <f t="shared" si="2"/>
        <v>0</v>
      </c>
      <c r="T28" s="8"/>
      <c r="U28" s="18">
        <f t="shared" si="3"/>
        <v>0</v>
      </c>
      <c r="V28" s="8">
        <f t="shared" si="4"/>
        <v>0</v>
      </c>
      <c r="W28" s="8">
        <f>O28/SUM(O$2:O$39)</f>
        <v>4.8164956319033038E-2</v>
      </c>
      <c r="X28" s="18">
        <f t="shared" si="5"/>
        <v>1.0710652609708402</v>
      </c>
      <c r="Y28" s="8">
        <f t="shared" si="6"/>
        <v>3.4842803102290022E-2</v>
      </c>
    </row>
    <row r="29" spans="2:25" x14ac:dyDescent="0.3">
      <c r="B29" s="7" t="s">
        <v>32</v>
      </c>
      <c r="C29">
        <v>0.76600000000000001</v>
      </c>
      <c r="D29">
        <v>0.89</v>
      </c>
      <c r="E29">
        <v>7.3999999999999996E-2</v>
      </c>
      <c r="F29">
        <v>0.95176181599999998</v>
      </c>
      <c r="G29">
        <v>0.15300000000000002</v>
      </c>
      <c r="H29">
        <v>0.75</v>
      </c>
      <c r="J29" t="s">
        <v>23</v>
      </c>
      <c r="K29" s="14"/>
      <c r="L29" s="14">
        <f t="shared" si="7"/>
        <v>0</v>
      </c>
      <c r="M29" s="14"/>
      <c r="N29" s="14">
        <f t="shared" si="8"/>
        <v>0</v>
      </c>
      <c r="O29" s="14"/>
      <c r="P29">
        <f t="shared" si="0"/>
        <v>0</v>
      </c>
      <c r="Q29" s="8"/>
      <c r="R29" s="18">
        <f t="shared" si="1"/>
        <v>0</v>
      </c>
      <c r="S29" s="8">
        <f t="shared" si="2"/>
        <v>0</v>
      </c>
      <c r="T29" s="8"/>
      <c r="U29" s="18">
        <f t="shared" si="3"/>
        <v>0</v>
      </c>
      <c r="V29" s="8">
        <f t="shared" si="4"/>
        <v>0</v>
      </c>
      <c r="W29" s="8"/>
      <c r="X29" s="18">
        <f t="shared" si="5"/>
        <v>0</v>
      </c>
      <c r="Y29" s="8">
        <f t="shared" si="6"/>
        <v>0</v>
      </c>
    </row>
    <row r="30" spans="2:25" x14ac:dyDescent="0.3">
      <c r="B30" s="7" t="s">
        <v>130</v>
      </c>
      <c r="C30">
        <v>0.41809999999999997</v>
      </c>
      <c r="D30">
        <v>0.89050000000000007</v>
      </c>
      <c r="E30">
        <v>0.14003333333333337</v>
      </c>
      <c r="F30">
        <v>0.95176181599999998</v>
      </c>
      <c r="G30">
        <v>0.41068333333333329</v>
      </c>
      <c r="H30">
        <v>0.79749999999999999</v>
      </c>
      <c r="J30" t="s">
        <v>24</v>
      </c>
      <c r="K30" s="14"/>
      <c r="L30" s="14">
        <f t="shared" si="7"/>
        <v>0</v>
      </c>
      <c r="M30" s="14"/>
      <c r="N30" s="14">
        <f t="shared" si="8"/>
        <v>0</v>
      </c>
      <c r="O30" s="14"/>
      <c r="P30">
        <f t="shared" si="0"/>
        <v>0</v>
      </c>
      <c r="Q30" s="8"/>
      <c r="R30" s="18">
        <f t="shared" si="1"/>
        <v>0</v>
      </c>
      <c r="S30" s="8">
        <f t="shared" si="2"/>
        <v>0</v>
      </c>
      <c r="T30" s="8"/>
      <c r="U30" s="18">
        <f t="shared" si="3"/>
        <v>0</v>
      </c>
      <c r="V30" s="8">
        <f t="shared" si="4"/>
        <v>0</v>
      </c>
      <c r="W30" s="8"/>
      <c r="X30" s="18">
        <f t="shared" si="5"/>
        <v>0</v>
      </c>
      <c r="Y30" s="8">
        <f t="shared" si="6"/>
        <v>0</v>
      </c>
    </row>
    <row r="31" spans="2:25" x14ac:dyDescent="0.3">
      <c r="B31" s="7"/>
      <c r="J31" t="s">
        <v>25</v>
      </c>
      <c r="K31" s="14"/>
      <c r="L31" s="14"/>
      <c r="M31" s="14"/>
      <c r="N31" s="14"/>
      <c r="O31" s="14"/>
      <c r="Q31" s="8"/>
      <c r="R31" s="18"/>
      <c r="S31" s="8"/>
      <c r="T31" s="8"/>
      <c r="U31" s="18"/>
      <c r="V31" s="8"/>
      <c r="W31" s="8"/>
      <c r="X31" s="18"/>
      <c r="Y31" s="8"/>
    </row>
    <row r="32" spans="2:25" x14ac:dyDescent="0.3">
      <c r="B32" s="7"/>
      <c r="J32" t="s">
        <v>26</v>
      </c>
      <c r="K32" s="14"/>
      <c r="L32" s="14">
        <f t="shared" si="7"/>
        <v>0</v>
      </c>
      <c r="M32" s="14">
        <v>0.17</v>
      </c>
      <c r="N32" s="14">
        <f t="shared" si="8"/>
        <v>3.0415660280349108</v>
      </c>
      <c r="O32" s="14"/>
      <c r="P32">
        <f t="shared" si="0"/>
        <v>0</v>
      </c>
      <c r="Q32" s="8"/>
      <c r="R32" s="18">
        <f t="shared" si="1"/>
        <v>0</v>
      </c>
      <c r="S32" s="8">
        <f t="shared" si="2"/>
        <v>0</v>
      </c>
      <c r="T32" s="8">
        <f>M32/SUM(M$2:M$39)</f>
        <v>0.14668505180536273</v>
      </c>
      <c r="U32" s="18">
        <f t="shared" si="3"/>
        <v>2.6244251199513662</v>
      </c>
      <c r="V32" s="8">
        <f t="shared" si="4"/>
        <v>8.5033116577811027E-2</v>
      </c>
      <c r="W32" s="8"/>
      <c r="X32" s="18">
        <f t="shared" si="5"/>
        <v>0</v>
      </c>
      <c r="Y32" s="8">
        <f t="shared" si="6"/>
        <v>0</v>
      </c>
    </row>
    <row r="33" spans="1:25" x14ac:dyDescent="0.3">
      <c r="B33" s="7"/>
      <c r="J33" t="s">
        <v>27</v>
      </c>
      <c r="K33" s="14"/>
      <c r="L33" s="14"/>
      <c r="M33" s="14"/>
      <c r="N33" s="14"/>
      <c r="O33" s="14"/>
      <c r="Q33" s="8"/>
      <c r="R33" s="18"/>
      <c r="S33" s="8"/>
      <c r="T33" s="8"/>
      <c r="U33" s="18"/>
      <c r="V33" s="8"/>
      <c r="W33" s="8"/>
      <c r="X33" s="18"/>
      <c r="Y33" s="8"/>
    </row>
    <row r="34" spans="1:25" x14ac:dyDescent="0.3">
      <c r="B34" s="7"/>
      <c r="J34" t="s">
        <v>28</v>
      </c>
      <c r="K34" s="14"/>
      <c r="L34" s="14"/>
      <c r="M34" s="14"/>
      <c r="N34" s="14"/>
      <c r="O34" s="14"/>
      <c r="Q34" s="8"/>
      <c r="R34" s="18"/>
      <c r="S34" s="8"/>
      <c r="T34" s="8"/>
      <c r="U34" s="18"/>
      <c r="V34" s="8"/>
      <c r="W34" s="8"/>
      <c r="X34" s="18"/>
      <c r="Y34" s="8"/>
    </row>
    <row r="35" spans="1:25" x14ac:dyDescent="0.3">
      <c r="B35" s="7"/>
      <c r="J35" t="s">
        <v>29</v>
      </c>
      <c r="K35" s="14"/>
      <c r="L35" s="14"/>
      <c r="M35" s="14"/>
      <c r="N35" s="14"/>
      <c r="O35" s="14"/>
      <c r="Q35" s="8"/>
      <c r="R35" s="18"/>
      <c r="S35" s="8"/>
      <c r="T35" s="8"/>
      <c r="U35" s="18"/>
      <c r="V35" s="8"/>
      <c r="W35" s="8"/>
      <c r="X35" s="18"/>
      <c r="Y35" s="8"/>
    </row>
    <row r="36" spans="1:25" x14ac:dyDescent="0.3">
      <c r="B36" s="7"/>
      <c r="J36" t="s">
        <v>30</v>
      </c>
      <c r="K36" s="14"/>
      <c r="L36" s="14"/>
      <c r="M36" s="14"/>
      <c r="N36" s="14"/>
      <c r="O36" s="14"/>
      <c r="Q36" s="8"/>
      <c r="R36" s="18"/>
      <c r="S36" s="8"/>
      <c r="T36" s="8"/>
      <c r="U36" s="18"/>
      <c r="V36" s="8"/>
      <c r="W36" s="8"/>
      <c r="X36" s="18"/>
      <c r="Y36" s="8"/>
    </row>
    <row r="37" spans="1:25" x14ac:dyDescent="0.3">
      <c r="B37" s="7"/>
      <c r="J37" t="s">
        <v>31</v>
      </c>
      <c r="K37" s="14">
        <v>0.2087</v>
      </c>
      <c r="L37" s="14">
        <f t="shared" si="7"/>
        <v>3.103593468283421</v>
      </c>
      <c r="M37" s="14">
        <v>0.12</v>
      </c>
      <c r="N37" s="14">
        <f t="shared" si="8"/>
        <v>1.7845290665740801</v>
      </c>
      <c r="O37" s="14">
        <v>0.1242</v>
      </c>
      <c r="P37">
        <f t="shared" si="0"/>
        <v>1.8469875839041729</v>
      </c>
      <c r="Q37" s="8">
        <f>K37/SUM(K$2:K$39)</f>
        <v>0.20867913208679129</v>
      </c>
      <c r="R37" s="18">
        <f t="shared" si="1"/>
        <v>3.1032831399694238</v>
      </c>
      <c r="S37" s="8">
        <f t="shared" si="2"/>
        <v>2.441545845415458E-2</v>
      </c>
      <c r="T37" s="8">
        <f>M37/SUM(M$2:M$39)</f>
        <v>0.10354238950966779</v>
      </c>
      <c r="U37" s="18">
        <f t="shared" si="3"/>
        <v>1.5397866975211441</v>
      </c>
      <c r="V37" s="8">
        <f t="shared" si="4"/>
        <v>1.2114459572631133E-2</v>
      </c>
      <c r="W37" s="8">
        <f>O37/SUM(O$2:O$39)</f>
        <v>0.13293527944053118</v>
      </c>
      <c r="X37" s="18">
        <f t="shared" si="5"/>
        <v>1.9768905844564637</v>
      </c>
      <c r="Y37" s="8">
        <f t="shared" si="6"/>
        <v>1.5553427694542149E-2</v>
      </c>
    </row>
    <row r="38" spans="1:25" x14ac:dyDescent="0.3">
      <c r="B38" s="7"/>
      <c r="J38" t="s">
        <v>32</v>
      </c>
      <c r="K38" s="14"/>
      <c r="L38" s="14">
        <f t="shared" si="7"/>
        <v>0</v>
      </c>
      <c r="M38" s="14">
        <v>0.1</v>
      </c>
      <c r="N38" s="14">
        <f t="shared" si="8"/>
        <v>2.0612343552700798</v>
      </c>
      <c r="O38" s="14"/>
      <c r="P38">
        <f t="shared" si="0"/>
        <v>0</v>
      </c>
      <c r="Q38" s="8"/>
      <c r="R38" s="18">
        <f t="shared" si="1"/>
        <v>0</v>
      </c>
      <c r="S38" s="8">
        <f t="shared" si="2"/>
        <v>0</v>
      </c>
      <c r="T38" s="8">
        <f>M38/SUM(M$2:M$39)</f>
        <v>8.6285324591389836E-2</v>
      </c>
      <c r="U38" s="18">
        <f t="shared" si="3"/>
        <v>1.7785427540340304</v>
      </c>
      <c r="V38" s="8">
        <f t="shared" si="4"/>
        <v>5.8824157186934109E-2</v>
      </c>
      <c r="W38" s="8"/>
      <c r="X38" s="18">
        <f t="shared" si="5"/>
        <v>0</v>
      </c>
      <c r="Y38" s="8">
        <f t="shared" si="6"/>
        <v>0</v>
      </c>
    </row>
    <row r="39" spans="1:25" x14ac:dyDescent="0.3">
      <c r="B39" s="7"/>
      <c r="J39" t="s">
        <v>33</v>
      </c>
      <c r="Q39" s="8"/>
      <c r="R39" s="8"/>
      <c r="S39" s="8"/>
      <c r="T39" s="8"/>
      <c r="U39" s="8"/>
      <c r="V39" s="8"/>
      <c r="W39" s="8"/>
    </row>
    <row r="40" spans="1:25" x14ac:dyDescent="0.3">
      <c r="B40" s="7"/>
    </row>
    <row r="41" spans="1:25" x14ac:dyDescent="0.3">
      <c r="O41" t="s">
        <v>137</v>
      </c>
      <c r="Q41" s="15">
        <f>SUM(R2:R39)</f>
        <v>22.919114439240058</v>
      </c>
      <c r="R41" s="15"/>
      <c r="S41" s="15"/>
      <c r="T41" s="15">
        <f>SUM(U2:U39)</f>
        <v>22.919994238049117</v>
      </c>
      <c r="U41" s="15"/>
      <c r="V41" s="15"/>
      <c r="W41" s="15">
        <f>SUM(X2:X39)</f>
        <v>22.919757990851444</v>
      </c>
    </row>
    <row r="42" spans="1:25" x14ac:dyDescent="0.3">
      <c r="O42" t="s">
        <v>138</v>
      </c>
      <c r="Q42" s="12">
        <f>SUM(S2:S38)</f>
        <v>0.31022758148718943</v>
      </c>
      <c r="T42" s="12">
        <f>SUM(V2:V38)</f>
        <v>0.25626111418606123</v>
      </c>
      <c r="W42" s="12">
        <f>SUM(Y2:Y38)</f>
        <v>0.3394321683314504</v>
      </c>
    </row>
    <row r="43" spans="1:25" x14ac:dyDescent="0.3">
      <c r="Q43" s="17">
        <f>SUM(Q2:Q39)</f>
        <v>0.99999999999999978</v>
      </c>
      <c r="R43" s="12"/>
      <c r="S43" s="12"/>
      <c r="T43" s="12">
        <f t="shared" ref="T43:W43" si="9">SUM(T2:T39)</f>
        <v>0.99999999999999978</v>
      </c>
      <c r="U43" s="12"/>
      <c r="V43" s="12"/>
      <c r="W43" s="12">
        <f t="shared" si="9"/>
        <v>1</v>
      </c>
    </row>
    <row r="45" spans="1:25" x14ac:dyDescent="0.3">
      <c r="C45" t="s">
        <v>96</v>
      </c>
      <c r="G45" t="s">
        <v>101</v>
      </c>
    </row>
    <row r="46" spans="1:25" x14ac:dyDescent="0.3">
      <c r="A46" t="s">
        <v>95</v>
      </c>
      <c r="B46" t="s">
        <v>94</v>
      </c>
      <c r="C46" t="s">
        <v>100</v>
      </c>
      <c r="D46" t="s">
        <v>97</v>
      </c>
      <c r="E46" t="s">
        <v>98</v>
      </c>
      <c r="F46" t="s">
        <v>99</v>
      </c>
      <c r="G46" t="s">
        <v>100</v>
      </c>
      <c r="H46" t="s">
        <v>97</v>
      </c>
      <c r="I46" t="s">
        <v>98</v>
      </c>
      <c r="J46" t="s">
        <v>99</v>
      </c>
      <c r="K46" t="s">
        <v>99</v>
      </c>
    </row>
    <row r="47" spans="1:25" x14ac:dyDescent="0.3">
      <c r="A47" t="s">
        <v>103</v>
      </c>
      <c r="B47" t="s">
        <v>1</v>
      </c>
      <c r="C47">
        <f t="shared" ref="C47:C58" si="10">ROUND(100*GETPIVOTDATA("Sum of protein",$B$3,"ingredient",$B47),1)</f>
        <v>53.5</v>
      </c>
      <c r="D47">
        <f t="shared" ref="D47:D58" si="11">ROUND(100*GETPIVOTDATA("Sum of mean_protein_digestibility",$B$3,"ingredient",$B47),1)</f>
        <v>86.3</v>
      </c>
      <c r="E47" t="e">
        <f t="shared" ref="E47:E58" si="12">ROUND(100*GETPIVOTDATA("Sum of min_protein_digestibility",$B$3,"ingredient",$B47),1)</f>
        <v>#REF!</v>
      </c>
      <c r="F47" t="e">
        <f t="shared" ref="F47:F58" si="13">ROUND(100*GETPIVOTDATA("Sum of max_protein_digestibility",$B$3,"ingredient",$B47),1)</f>
        <v>#REF!</v>
      </c>
      <c r="G47">
        <f t="shared" ref="G47:G58" si="14">ROUND(100*GETPIVOTDATA("Sum of lipid",$B$3,"ingredient",$B47),1)</f>
        <v>22.4</v>
      </c>
      <c r="H47">
        <f t="shared" ref="H47:H58" si="15">ROUND(100*GETPIVOTDATA("Sum of mean_lipid_digestibility",$B$3,"ingredient",$B47),1)</f>
        <v>93</v>
      </c>
      <c r="I47" t="e">
        <f t="shared" ref="I47:I58" si="16">ROUND(100*GETPIVOTDATA("Sum of min_lipid_digestibility",$B$3,"ingredient",$B47),1)</f>
        <v>#REF!</v>
      </c>
      <c r="J47" t="e">
        <f t="shared" ref="J47:J58" si="17">ROUND(100*GETPIVOTDATA("Sum of max_lipid_digestibility",$B$3,"ingredient",$B47),1)</f>
        <v>#REF!</v>
      </c>
      <c r="K47" t="e">
        <f t="shared" ref="K47:K58" si="18">ROUND(100*GETPIVOTDATA("Sum of max_carb_digestibility",$B$3,"ingredient",$B47),1)</f>
        <v>#REF!</v>
      </c>
    </row>
    <row r="48" spans="1:25" x14ac:dyDescent="0.3">
      <c r="A48" t="s">
        <v>104</v>
      </c>
      <c r="B48" t="s">
        <v>2</v>
      </c>
      <c r="C48">
        <f t="shared" si="10"/>
        <v>32.700000000000003</v>
      </c>
      <c r="D48">
        <f t="shared" si="11"/>
        <v>91.1</v>
      </c>
      <c r="E48" t="e">
        <f t="shared" si="12"/>
        <v>#REF!</v>
      </c>
      <c r="F48" t="e">
        <f t="shared" si="13"/>
        <v>#REF!</v>
      </c>
      <c r="G48">
        <f t="shared" si="14"/>
        <v>13</v>
      </c>
      <c r="H48">
        <f t="shared" si="15"/>
        <v>93</v>
      </c>
      <c r="I48" t="e">
        <f t="shared" si="16"/>
        <v>#REF!</v>
      </c>
      <c r="J48" t="e">
        <f t="shared" si="17"/>
        <v>#REF!</v>
      </c>
      <c r="K48" t="e">
        <f t="shared" si="18"/>
        <v>#REF!</v>
      </c>
    </row>
    <row r="49" spans="1:11" x14ac:dyDescent="0.3">
      <c r="A49" t="s">
        <v>105</v>
      </c>
      <c r="B49" t="s">
        <v>7</v>
      </c>
      <c r="C49">
        <f t="shared" si="10"/>
        <v>86.8</v>
      </c>
      <c r="D49">
        <f t="shared" si="11"/>
        <v>86.6</v>
      </c>
      <c r="E49" t="e">
        <f t="shared" si="12"/>
        <v>#REF!</v>
      </c>
      <c r="F49" t="e">
        <f t="shared" si="13"/>
        <v>#REF!</v>
      </c>
      <c r="G49">
        <f t="shared" si="14"/>
        <v>6.8</v>
      </c>
      <c r="H49">
        <f t="shared" si="15"/>
        <v>93.7</v>
      </c>
      <c r="I49" t="e">
        <f t="shared" si="16"/>
        <v>#REF!</v>
      </c>
      <c r="J49" t="e">
        <f t="shared" si="17"/>
        <v>#REF!</v>
      </c>
      <c r="K49" t="e">
        <f t="shared" si="18"/>
        <v>#REF!</v>
      </c>
    </row>
    <row r="50" spans="1:11" x14ac:dyDescent="0.3">
      <c r="A50" t="s">
        <v>106</v>
      </c>
      <c r="B50" t="s">
        <v>14</v>
      </c>
      <c r="C50">
        <f t="shared" si="10"/>
        <v>55.1</v>
      </c>
      <c r="D50">
        <f t="shared" si="11"/>
        <v>87.8</v>
      </c>
      <c r="E50" t="e">
        <f t="shared" si="12"/>
        <v>#REF!</v>
      </c>
      <c r="F50" t="e">
        <f t="shared" si="13"/>
        <v>#REF!</v>
      </c>
      <c r="G50">
        <f t="shared" si="14"/>
        <v>26.9</v>
      </c>
      <c r="H50">
        <f t="shared" si="15"/>
        <v>95.1</v>
      </c>
      <c r="I50" t="e">
        <f t="shared" si="16"/>
        <v>#REF!</v>
      </c>
      <c r="J50" t="e">
        <f t="shared" si="17"/>
        <v>#REF!</v>
      </c>
      <c r="K50" t="e">
        <f t="shared" si="18"/>
        <v>#REF!</v>
      </c>
    </row>
    <row r="51" spans="1:11" x14ac:dyDescent="0.3">
      <c r="A51" t="s">
        <v>107</v>
      </c>
      <c r="B51" t="s">
        <v>16</v>
      </c>
      <c r="C51">
        <f t="shared" si="10"/>
        <v>53.8</v>
      </c>
      <c r="D51">
        <f t="shared" si="11"/>
        <v>83</v>
      </c>
      <c r="E51" t="e">
        <f t="shared" si="12"/>
        <v>#REF!</v>
      </c>
      <c r="F51" t="e">
        <f t="shared" si="13"/>
        <v>#REF!</v>
      </c>
      <c r="G51">
        <f t="shared" si="14"/>
        <v>13.2</v>
      </c>
      <c r="H51">
        <f t="shared" si="15"/>
        <v>93.2</v>
      </c>
      <c r="I51" t="e">
        <f t="shared" si="16"/>
        <v>#REF!</v>
      </c>
      <c r="J51" t="e">
        <f t="shared" si="17"/>
        <v>#REF!</v>
      </c>
      <c r="K51" t="e">
        <f t="shared" si="18"/>
        <v>#REF!</v>
      </c>
    </row>
    <row r="52" spans="1:11" x14ac:dyDescent="0.3">
      <c r="A52" t="s">
        <v>108</v>
      </c>
      <c r="B52" t="s">
        <v>66</v>
      </c>
      <c r="C52">
        <f t="shared" si="10"/>
        <v>56.2</v>
      </c>
      <c r="D52">
        <f t="shared" si="11"/>
        <v>81.2</v>
      </c>
      <c r="E52" t="e">
        <f t="shared" si="12"/>
        <v>#REF!</v>
      </c>
      <c r="F52" t="e">
        <f t="shared" si="13"/>
        <v>#REF!</v>
      </c>
      <c r="G52">
        <f t="shared" si="14"/>
        <v>8.6999999999999993</v>
      </c>
      <c r="H52">
        <f t="shared" si="15"/>
        <v>93</v>
      </c>
      <c r="I52" t="e">
        <f t="shared" si="16"/>
        <v>#REF!</v>
      </c>
      <c r="J52" t="e">
        <f t="shared" si="17"/>
        <v>#REF!</v>
      </c>
      <c r="K52" t="e">
        <f t="shared" si="18"/>
        <v>#REF!</v>
      </c>
    </row>
    <row r="53" spans="1:11" x14ac:dyDescent="0.3">
      <c r="A53" t="s">
        <v>109</v>
      </c>
      <c r="B53" t="s">
        <v>18</v>
      </c>
      <c r="C53">
        <f t="shared" si="10"/>
        <v>62.2</v>
      </c>
      <c r="D53">
        <f t="shared" si="11"/>
        <v>78.599999999999994</v>
      </c>
      <c r="E53" t="e">
        <f t="shared" si="12"/>
        <v>#REF!</v>
      </c>
      <c r="F53" t="e">
        <f t="shared" si="13"/>
        <v>#REF!</v>
      </c>
      <c r="G53">
        <f t="shared" si="14"/>
        <v>12.2</v>
      </c>
      <c r="H53">
        <f t="shared" si="15"/>
        <v>93</v>
      </c>
      <c r="I53" t="e">
        <f t="shared" si="16"/>
        <v>#REF!</v>
      </c>
      <c r="J53" t="e">
        <f t="shared" si="17"/>
        <v>#REF!</v>
      </c>
      <c r="K53" t="e">
        <f t="shared" si="18"/>
        <v>#REF!</v>
      </c>
    </row>
    <row r="54" spans="1:11" x14ac:dyDescent="0.3">
      <c r="A54" t="s">
        <v>110</v>
      </c>
      <c r="B54" t="s">
        <v>21</v>
      </c>
      <c r="C54">
        <f t="shared" si="10"/>
        <v>72.3</v>
      </c>
      <c r="D54">
        <f t="shared" si="11"/>
        <v>86.6</v>
      </c>
      <c r="E54" t="e">
        <f t="shared" si="12"/>
        <v>#REF!</v>
      </c>
      <c r="F54" t="e">
        <f t="shared" si="13"/>
        <v>#REF!</v>
      </c>
      <c r="G54">
        <f t="shared" si="14"/>
        <v>11.7</v>
      </c>
      <c r="H54">
        <f t="shared" si="15"/>
        <v>94.9</v>
      </c>
      <c r="I54" t="e">
        <f t="shared" si="16"/>
        <v>#REF!</v>
      </c>
      <c r="J54" t="e">
        <f t="shared" si="17"/>
        <v>#REF!</v>
      </c>
      <c r="K54" t="e">
        <f t="shared" si="18"/>
        <v>#REF!</v>
      </c>
    </row>
    <row r="55" spans="1:11" x14ac:dyDescent="0.3">
      <c r="A55" t="s">
        <v>111</v>
      </c>
      <c r="B55" t="s">
        <v>52</v>
      </c>
      <c r="C55">
        <f t="shared" si="10"/>
        <v>81.900000000000006</v>
      </c>
      <c r="D55">
        <f t="shared" si="11"/>
        <v>88.4</v>
      </c>
      <c r="E55" t="e">
        <f t="shared" si="12"/>
        <v>#REF!</v>
      </c>
      <c r="F55" t="e">
        <f t="shared" si="13"/>
        <v>#REF!</v>
      </c>
      <c r="G55">
        <f t="shared" si="14"/>
        <v>14.5</v>
      </c>
      <c r="H55">
        <f t="shared" si="15"/>
        <v>96.6</v>
      </c>
      <c r="I55" t="e">
        <f t="shared" si="16"/>
        <v>#REF!</v>
      </c>
      <c r="J55" t="e">
        <f t="shared" si="17"/>
        <v>#REF!</v>
      </c>
      <c r="K55" t="e">
        <f t="shared" si="18"/>
        <v>#REF!</v>
      </c>
    </row>
    <row r="56" spans="1:11" x14ac:dyDescent="0.3">
      <c r="A56" t="s">
        <v>112</v>
      </c>
      <c r="B56" t="s">
        <v>23</v>
      </c>
      <c r="C56">
        <f t="shared" si="10"/>
        <v>75.900000000000006</v>
      </c>
      <c r="D56">
        <f t="shared" si="11"/>
        <v>94.1</v>
      </c>
      <c r="E56" t="e">
        <f t="shared" si="12"/>
        <v>#REF!</v>
      </c>
      <c r="F56" t="e">
        <f t="shared" si="13"/>
        <v>#REF!</v>
      </c>
      <c r="G56">
        <f t="shared" si="14"/>
        <v>10.1</v>
      </c>
      <c r="H56">
        <f t="shared" si="15"/>
        <v>93</v>
      </c>
      <c r="I56" t="e">
        <f t="shared" si="16"/>
        <v>#REF!</v>
      </c>
      <c r="J56" t="e">
        <f t="shared" si="17"/>
        <v>#REF!</v>
      </c>
      <c r="K56" t="e">
        <f t="shared" si="18"/>
        <v>#REF!</v>
      </c>
    </row>
    <row r="57" spans="1:11" x14ac:dyDescent="0.3">
      <c r="A57" t="s">
        <v>113</v>
      </c>
      <c r="B57" t="s">
        <v>24</v>
      </c>
      <c r="C57">
        <f t="shared" si="10"/>
        <v>65.3</v>
      </c>
      <c r="D57">
        <f t="shared" si="11"/>
        <v>89.4</v>
      </c>
      <c r="E57" t="e">
        <f t="shared" si="12"/>
        <v>#REF!</v>
      </c>
      <c r="F57" t="e">
        <f t="shared" si="13"/>
        <v>#REF!</v>
      </c>
      <c r="G57">
        <f t="shared" si="14"/>
        <v>2</v>
      </c>
      <c r="H57">
        <f t="shared" si="15"/>
        <v>93</v>
      </c>
      <c r="I57" t="e">
        <f t="shared" si="16"/>
        <v>#REF!</v>
      </c>
      <c r="J57" t="e">
        <f t="shared" si="17"/>
        <v>#REF!</v>
      </c>
      <c r="K57" t="e">
        <f t="shared" si="18"/>
        <v>#REF!</v>
      </c>
    </row>
    <row r="58" spans="1:11" x14ac:dyDescent="0.3">
      <c r="A58" t="s">
        <v>114</v>
      </c>
      <c r="B58" t="s">
        <v>26</v>
      </c>
      <c r="C58">
        <f t="shared" si="10"/>
        <v>66.2</v>
      </c>
      <c r="D58">
        <f t="shared" si="11"/>
        <v>87.6</v>
      </c>
      <c r="E58" t="e">
        <f t="shared" si="12"/>
        <v>#REF!</v>
      </c>
      <c r="F58" t="e">
        <f t="shared" si="13"/>
        <v>#REF!</v>
      </c>
      <c r="G58">
        <f t="shared" si="14"/>
        <v>1.1000000000000001</v>
      </c>
      <c r="H58">
        <f t="shared" si="15"/>
        <v>95.2</v>
      </c>
      <c r="I58" t="e">
        <f t="shared" si="16"/>
        <v>#REF!</v>
      </c>
      <c r="J58" t="e">
        <f t="shared" si="17"/>
        <v>#REF!</v>
      </c>
      <c r="K58" t="e">
        <f t="shared" si="18"/>
        <v>#REF!</v>
      </c>
    </row>
    <row r="60" spans="1:11" x14ac:dyDescent="0.3">
      <c r="A60" t="s">
        <v>115</v>
      </c>
      <c r="B60" t="s">
        <v>47</v>
      </c>
      <c r="C60">
        <f>ROUND(100*GETPIVOTDATA("Sum of protein",$B$3,"ingredient",$B60),1)</f>
        <v>0</v>
      </c>
      <c r="D60">
        <f>ROUND(100*GETPIVOTDATA("Sum of mean_protein_digestibility",$B$3,"ingredient",$B60),1)</f>
        <v>0</v>
      </c>
      <c r="E60" t="e">
        <f>ROUND(100*GETPIVOTDATA("Sum of min_protein_digestibility",$B$3,"ingredient",$B60),1)</f>
        <v>#REF!</v>
      </c>
      <c r="F60" t="e">
        <f>ROUND(100*GETPIVOTDATA("Sum of max_protein_digestibility",$B$3,"ingredient",$B60),1)</f>
        <v>#REF!</v>
      </c>
      <c r="G60">
        <f>ROUND(100*GETPIVOTDATA("Sum of lipid",$B$3,"ingredient",$B60),1)</f>
        <v>100</v>
      </c>
      <c r="H60">
        <f>ROUND(100*GETPIVOTDATA("Sum of mean_lipid_digestibility",$B$3,"ingredient",$B60),1)</f>
        <v>95.2</v>
      </c>
      <c r="I60" t="e">
        <f>ROUND(100*GETPIVOTDATA("Sum of min_lipid_digestibility",$B$3,"ingredient",$B60),1)</f>
        <v>#REF!</v>
      </c>
      <c r="J60" t="e">
        <f>ROUND(100*GETPIVOTDATA("Sum of max_lipid_digestibility",$B$3,"ingredient",$B60),1)</f>
        <v>#REF!</v>
      </c>
      <c r="K60" t="e">
        <f>ROUND(100*GETPIVOTDATA("Sum of max_carb_digestibility",$B$3,"ingredient",$B60),1)</f>
        <v>#REF!</v>
      </c>
    </row>
    <row r="61" spans="1:11" x14ac:dyDescent="0.3">
      <c r="A61" t="s">
        <v>117</v>
      </c>
      <c r="B61" t="s">
        <v>3</v>
      </c>
      <c r="C61">
        <f t="shared" ref="C61:C72" si="19">ROUND(100*GETPIVOTDATA("Sum of protein",$B$3,"ingredient",$B61),1)</f>
        <v>0</v>
      </c>
      <c r="D61">
        <f t="shared" ref="D61:D72" si="20">ROUND(100*GETPIVOTDATA("Sum of mean_protein_digestibility",$B$3,"ingredient",$B61),1)</f>
        <v>0</v>
      </c>
      <c r="E61" t="e">
        <f t="shared" ref="E61:E72" si="21">ROUND(100*GETPIVOTDATA("Sum of min_protein_digestibility",$B$3,"ingredient",$B61),1)</f>
        <v>#REF!</v>
      </c>
      <c r="F61" t="e">
        <f t="shared" ref="F61:F72" si="22">ROUND(100*GETPIVOTDATA("Sum of max_protein_digestibility",$B$3,"ingredient",$B61),1)</f>
        <v>#REF!</v>
      </c>
      <c r="G61">
        <f t="shared" ref="G61:G72" si="23">ROUND(100*GETPIVOTDATA("Sum of lipid",$B$3,"ingredient",$B61),1)</f>
        <v>100</v>
      </c>
      <c r="H61">
        <f t="shared" ref="H61:H72" si="24">ROUND(100*GETPIVOTDATA("Sum of mean_lipid_digestibility",$B$3,"ingredient",$B61),1)</f>
        <v>95.2</v>
      </c>
      <c r="I61" t="e">
        <f t="shared" ref="I61:I72" si="25">ROUND(100*GETPIVOTDATA("Sum of min_lipid_digestibility",$B$3,"ingredient",$B61),1)</f>
        <v>#REF!</v>
      </c>
      <c r="J61" t="e">
        <f t="shared" ref="J61:J72" si="26">ROUND(100*GETPIVOTDATA("Sum of max_lipid_digestibility",$B$3,"ingredient",$B61),1)</f>
        <v>#REF!</v>
      </c>
      <c r="K61" t="e">
        <f t="shared" ref="K61:K72" si="27">ROUND(100*GETPIVOTDATA("Sum of max_carb_digestibility",$B$3,"ingredient",$B61),1)</f>
        <v>#REF!</v>
      </c>
    </row>
    <row r="62" spans="1:11" x14ac:dyDescent="0.3">
      <c r="A62" t="s">
        <v>118</v>
      </c>
      <c r="B62" t="s">
        <v>8</v>
      </c>
      <c r="C62">
        <f t="shared" si="19"/>
        <v>73.400000000000006</v>
      </c>
      <c r="D62">
        <f t="shared" si="20"/>
        <v>88</v>
      </c>
      <c r="E62" t="e">
        <f t="shared" si="21"/>
        <v>#REF!</v>
      </c>
      <c r="F62" t="e">
        <f t="shared" si="22"/>
        <v>#REF!</v>
      </c>
      <c r="G62">
        <f t="shared" si="23"/>
        <v>8.3000000000000007</v>
      </c>
      <c r="H62">
        <f t="shared" si="24"/>
        <v>95.7</v>
      </c>
      <c r="I62" t="e">
        <f t="shared" si="25"/>
        <v>#REF!</v>
      </c>
      <c r="J62" t="e">
        <f t="shared" si="26"/>
        <v>#REF!</v>
      </c>
      <c r="K62" t="e">
        <f t="shared" si="27"/>
        <v>#REF!</v>
      </c>
    </row>
    <row r="63" spans="1:11" x14ac:dyDescent="0.3">
      <c r="A63" t="s">
        <v>119</v>
      </c>
      <c r="B63" t="s">
        <v>9</v>
      </c>
      <c r="C63">
        <f t="shared" si="19"/>
        <v>73.400000000000006</v>
      </c>
      <c r="D63">
        <f t="shared" si="20"/>
        <v>88</v>
      </c>
      <c r="E63" t="e">
        <f t="shared" si="21"/>
        <v>#REF!</v>
      </c>
      <c r="F63" t="e">
        <f t="shared" si="22"/>
        <v>#REF!</v>
      </c>
      <c r="G63">
        <f t="shared" si="23"/>
        <v>8.3000000000000007</v>
      </c>
      <c r="H63">
        <f t="shared" si="24"/>
        <v>95.7</v>
      </c>
      <c r="I63" t="e">
        <f t="shared" si="25"/>
        <v>#REF!</v>
      </c>
      <c r="J63" t="e">
        <f t="shared" si="26"/>
        <v>#REF!</v>
      </c>
      <c r="K63" t="e">
        <f t="shared" si="27"/>
        <v>#REF!</v>
      </c>
    </row>
    <row r="64" spans="1:11" x14ac:dyDescent="0.3">
      <c r="A64" t="s">
        <v>120</v>
      </c>
      <c r="B64" t="s">
        <v>10</v>
      </c>
      <c r="C64">
        <f t="shared" si="19"/>
        <v>0</v>
      </c>
      <c r="D64">
        <f t="shared" si="20"/>
        <v>0</v>
      </c>
      <c r="E64" t="e">
        <f t="shared" si="21"/>
        <v>#REF!</v>
      </c>
      <c r="F64" t="e">
        <f t="shared" si="22"/>
        <v>#REF!</v>
      </c>
      <c r="G64">
        <f t="shared" si="23"/>
        <v>100</v>
      </c>
      <c r="H64">
        <f t="shared" si="24"/>
        <v>95.7</v>
      </c>
      <c r="I64" t="e">
        <f t="shared" si="25"/>
        <v>#REF!</v>
      </c>
      <c r="J64" t="e">
        <f t="shared" si="26"/>
        <v>#REF!</v>
      </c>
      <c r="K64" t="e">
        <f t="shared" si="27"/>
        <v>#REF!</v>
      </c>
    </row>
    <row r="65" spans="1:11" x14ac:dyDescent="0.3">
      <c r="A65" t="s">
        <v>121</v>
      </c>
      <c r="B65" t="s">
        <v>11</v>
      </c>
      <c r="C65">
        <f t="shared" si="19"/>
        <v>0</v>
      </c>
      <c r="D65">
        <f t="shared" si="20"/>
        <v>0</v>
      </c>
      <c r="E65" t="e">
        <f t="shared" si="21"/>
        <v>#REF!</v>
      </c>
      <c r="F65" t="e">
        <f t="shared" si="22"/>
        <v>#REF!</v>
      </c>
      <c r="G65">
        <f t="shared" si="23"/>
        <v>100</v>
      </c>
      <c r="H65">
        <f t="shared" si="24"/>
        <v>95.7</v>
      </c>
      <c r="I65" t="e">
        <f t="shared" si="25"/>
        <v>#REF!</v>
      </c>
      <c r="J65" t="e">
        <f t="shared" si="26"/>
        <v>#REF!</v>
      </c>
      <c r="K65" t="e">
        <f t="shared" si="27"/>
        <v>#REF!</v>
      </c>
    </row>
    <row r="66" spans="1:11" x14ac:dyDescent="0.3">
      <c r="A66" t="s">
        <v>122</v>
      </c>
      <c r="B66" t="s">
        <v>12</v>
      </c>
      <c r="C66">
        <f t="shared" si="19"/>
        <v>42</v>
      </c>
      <c r="D66">
        <f t="shared" si="20"/>
        <v>63</v>
      </c>
      <c r="E66" t="e">
        <f t="shared" si="21"/>
        <v>#REF!</v>
      </c>
      <c r="F66" t="e">
        <f t="shared" si="22"/>
        <v>#REF!</v>
      </c>
      <c r="G66">
        <f t="shared" si="23"/>
        <v>5.3</v>
      </c>
      <c r="H66">
        <f t="shared" si="24"/>
        <v>95.2</v>
      </c>
      <c r="I66" t="e">
        <f t="shared" si="25"/>
        <v>#REF!</v>
      </c>
      <c r="J66" t="e">
        <f t="shared" si="26"/>
        <v>#REF!</v>
      </c>
      <c r="K66" t="e">
        <f t="shared" si="27"/>
        <v>#REF!</v>
      </c>
    </row>
    <row r="67" spans="1:11" x14ac:dyDescent="0.3">
      <c r="A67" t="s">
        <v>123</v>
      </c>
      <c r="B67" t="s">
        <v>49</v>
      </c>
      <c r="C67">
        <f t="shared" si="19"/>
        <v>93</v>
      </c>
      <c r="D67">
        <f t="shared" si="20"/>
        <v>62.2</v>
      </c>
      <c r="E67" t="e">
        <f t="shared" si="21"/>
        <v>#REF!</v>
      </c>
      <c r="F67" t="e">
        <f t="shared" si="22"/>
        <v>#REF!</v>
      </c>
      <c r="G67">
        <f t="shared" si="23"/>
        <v>7</v>
      </c>
      <c r="H67">
        <f t="shared" si="24"/>
        <v>95.2</v>
      </c>
      <c r="I67" t="e">
        <f t="shared" si="25"/>
        <v>#REF!</v>
      </c>
      <c r="J67" t="e">
        <f t="shared" si="26"/>
        <v>#REF!</v>
      </c>
      <c r="K67" t="e">
        <f t="shared" si="27"/>
        <v>#REF!</v>
      </c>
    </row>
    <row r="68" spans="1:11" x14ac:dyDescent="0.3">
      <c r="A68" t="s">
        <v>124</v>
      </c>
      <c r="B68" t="s">
        <v>50</v>
      </c>
      <c r="C68" t="e">
        <f t="shared" si="19"/>
        <v>#REF!</v>
      </c>
      <c r="D68" t="e">
        <f t="shared" si="20"/>
        <v>#REF!</v>
      </c>
      <c r="E68" t="e">
        <f t="shared" si="21"/>
        <v>#REF!</v>
      </c>
      <c r="F68" t="e">
        <f t="shared" si="22"/>
        <v>#REF!</v>
      </c>
      <c r="G68" t="e">
        <f t="shared" si="23"/>
        <v>#REF!</v>
      </c>
      <c r="H68" t="e">
        <f t="shared" si="24"/>
        <v>#REF!</v>
      </c>
      <c r="I68" t="e">
        <f t="shared" si="25"/>
        <v>#REF!</v>
      </c>
      <c r="J68" t="e">
        <f t="shared" si="26"/>
        <v>#REF!</v>
      </c>
      <c r="K68" t="e">
        <f t="shared" si="27"/>
        <v>#REF!</v>
      </c>
    </row>
    <row r="69" spans="1:11" x14ac:dyDescent="0.3">
      <c r="A69" t="s">
        <v>127</v>
      </c>
      <c r="B69" t="s">
        <v>20</v>
      </c>
      <c r="C69">
        <f t="shared" si="19"/>
        <v>84</v>
      </c>
      <c r="D69">
        <f t="shared" si="20"/>
        <v>88</v>
      </c>
      <c r="E69" t="e">
        <f t="shared" si="21"/>
        <v>#REF!</v>
      </c>
      <c r="F69" t="e">
        <f t="shared" si="22"/>
        <v>#REF!</v>
      </c>
      <c r="G69">
        <f t="shared" si="23"/>
        <v>5</v>
      </c>
      <c r="H69">
        <f t="shared" si="24"/>
        <v>95.2</v>
      </c>
      <c r="I69" t="e">
        <f t="shared" si="25"/>
        <v>#REF!</v>
      </c>
      <c r="J69" t="e">
        <f t="shared" si="26"/>
        <v>#REF!</v>
      </c>
      <c r="K69" t="e">
        <f t="shared" si="27"/>
        <v>#REF!</v>
      </c>
    </row>
    <row r="70" spans="1:11" x14ac:dyDescent="0.3">
      <c r="A70" t="s">
        <v>128</v>
      </c>
      <c r="B70" t="s">
        <v>51</v>
      </c>
      <c r="C70">
        <f t="shared" si="19"/>
        <v>0</v>
      </c>
      <c r="D70">
        <f t="shared" si="20"/>
        <v>0</v>
      </c>
      <c r="E70" t="e">
        <f t="shared" si="21"/>
        <v>#REF!</v>
      </c>
      <c r="F70" t="e">
        <f t="shared" si="22"/>
        <v>#REF!</v>
      </c>
      <c r="G70">
        <f t="shared" si="23"/>
        <v>100</v>
      </c>
      <c r="H70">
        <f t="shared" si="24"/>
        <v>96.6</v>
      </c>
      <c r="I70" t="e">
        <f t="shared" si="25"/>
        <v>#REF!</v>
      </c>
      <c r="J70" t="e">
        <f t="shared" si="26"/>
        <v>#REF!</v>
      </c>
      <c r="K70" t="e">
        <f t="shared" si="27"/>
        <v>#REF!</v>
      </c>
    </row>
    <row r="71" spans="1:11" x14ac:dyDescent="0.3">
      <c r="A71" t="s">
        <v>126</v>
      </c>
      <c r="B71" t="s">
        <v>31</v>
      </c>
      <c r="C71">
        <f t="shared" si="19"/>
        <v>13</v>
      </c>
      <c r="D71">
        <f t="shared" si="20"/>
        <v>90</v>
      </c>
      <c r="E71" t="e">
        <f t="shared" si="21"/>
        <v>#REF!</v>
      </c>
      <c r="F71" t="e">
        <f t="shared" si="22"/>
        <v>#REF!</v>
      </c>
      <c r="G71">
        <f t="shared" si="23"/>
        <v>2</v>
      </c>
      <c r="H71">
        <f t="shared" si="24"/>
        <v>95.2</v>
      </c>
      <c r="I71" t="e">
        <f t="shared" si="25"/>
        <v>#REF!</v>
      </c>
      <c r="J71" t="e">
        <f t="shared" si="26"/>
        <v>#REF!</v>
      </c>
      <c r="K71" t="e">
        <f t="shared" si="27"/>
        <v>#REF!</v>
      </c>
    </row>
    <row r="72" spans="1:11" x14ac:dyDescent="0.3">
      <c r="A72" t="s">
        <v>129</v>
      </c>
      <c r="B72" t="s">
        <v>32</v>
      </c>
      <c r="C72">
        <f t="shared" si="19"/>
        <v>76.599999999999994</v>
      </c>
      <c r="D72">
        <f t="shared" si="20"/>
        <v>89</v>
      </c>
      <c r="E72" t="e">
        <f t="shared" si="21"/>
        <v>#REF!</v>
      </c>
      <c r="F72" t="e">
        <f t="shared" si="22"/>
        <v>#REF!</v>
      </c>
      <c r="G72">
        <f t="shared" si="23"/>
        <v>7.4</v>
      </c>
      <c r="H72">
        <f t="shared" si="24"/>
        <v>95.2</v>
      </c>
      <c r="I72" t="e">
        <f t="shared" si="25"/>
        <v>#REF!</v>
      </c>
      <c r="J72" t="e">
        <f t="shared" si="26"/>
        <v>#REF!</v>
      </c>
      <c r="K72" t="e">
        <f t="shared" si="27"/>
        <v>#REF!</v>
      </c>
    </row>
    <row r="73" spans="1:11" x14ac:dyDescent="0.3">
      <c r="A73" t="s">
        <v>116</v>
      </c>
      <c r="B73" t="s">
        <v>48</v>
      </c>
      <c r="C73">
        <f>ROUND(100*GETPIVOTDATA("Sum of protein",$B$3,"ingredient",$B73),1)</f>
        <v>0</v>
      </c>
      <c r="D73">
        <f>ROUND(100*GETPIVOTDATA("Sum of mean_protein_digestibility",$B$3,"ingredient",$B73),1)</f>
        <v>0</v>
      </c>
      <c r="E73" t="e">
        <f>ROUND(100*GETPIVOTDATA("Sum of min_protein_digestibility",$B$3,"ingredient",$B73),1)</f>
        <v>#REF!</v>
      </c>
      <c r="F73" t="e">
        <f>ROUND(100*GETPIVOTDATA("Sum of max_protein_digestibility",$B$3,"ingredient",$B73),1)</f>
        <v>#REF!</v>
      </c>
      <c r="G73">
        <f>ROUND(100*GETPIVOTDATA("Sum of lipid",$B$3,"ingredient",$B73),1)</f>
        <v>0</v>
      </c>
      <c r="H73">
        <f>ROUND(100*GETPIVOTDATA("Sum of mean_lipid_digestibility",$B$3,"ingredient",$B73),1)</f>
        <v>0</v>
      </c>
      <c r="I73" t="e">
        <f>ROUND(100*GETPIVOTDATA("Sum of min_lipid_digestibility",$B$3,"ingredient",$B73),1)</f>
        <v>#REF!</v>
      </c>
      <c r="J73" t="e">
        <f>ROUND(100*GETPIVOTDATA("Sum of max_lipid_digestibility",$B$3,"ingredient",$B73),1)</f>
        <v>#REF!</v>
      </c>
      <c r="K73" t="e">
        <f>ROUND(100*GETPIVOTDATA("Sum of max_carb_digestibility",$B$3,"ingredient",$B73),1)</f>
        <v>#REF!</v>
      </c>
    </row>
    <row r="74" spans="1:11" x14ac:dyDescent="0.3">
      <c r="A74" t="s">
        <v>125</v>
      </c>
      <c r="B74" t="s">
        <v>17</v>
      </c>
      <c r="C74">
        <f>ROUND(100*GETPIVOTDATA("Sum of protein",$B$3,"ingredient",$B74),1)</f>
        <v>0</v>
      </c>
      <c r="D74">
        <f>ROUND(100*GETPIVOTDATA("Sum of mean_protein_digestibility",$B$3,"ingredient",$B74),1)</f>
        <v>0</v>
      </c>
      <c r="E74" t="e">
        <f>ROUND(100*GETPIVOTDATA("Sum of min_protein_digestibility",$B$3,"ingredient",$B74),1)</f>
        <v>#REF!</v>
      </c>
      <c r="F74" t="e">
        <f>ROUND(100*GETPIVOTDATA("Sum of max_protein_digestibility",$B$3,"ingredient",$B74),1)</f>
        <v>#REF!</v>
      </c>
      <c r="G74">
        <f>ROUND(100*GETPIVOTDATA("Sum of lipid",$B$3,"ingredient",$B74),1)</f>
        <v>0</v>
      </c>
      <c r="H74">
        <f>ROUND(100*GETPIVOTDATA("Sum of mean_lipid_digestibility",$B$3,"ingredient",$B74),1)</f>
        <v>0</v>
      </c>
      <c r="I74" t="e">
        <f>ROUND(100*GETPIVOTDATA("Sum of min_lipid_digestibility",$B$3,"ingredient",$B74),1)</f>
        <v>#REF!</v>
      </c>
      <c r="J74" t="e">
        <f>ROUND(100*GETPIVOTDATA("Sum of max_lipid_digestibility",$B$3,"ingredient",$B74),1)</f>
        <v>#REF!</v>
      </c>
      <c r="K74" t="e">
        <f>ROUND(100*GETPIVOTDATA("Sum of max_carb_digestibility",$B$3,"ingredient",$B74),1)</f>
        <v>#REF!</v>
      </c>
    </row>
  </sheetData>
  <pageMargins left="0.7" right="0.7" top="0.75" bottom="0.75" header="0.3" footer="0.3"/>
  <pageSetup paperSize="9"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17DA89-E85F-4597-B94B-473613FC79D7}">
  <dimension ref="A1:D43"/>
  <sheetViews>
    <sheetView tabSelected="1" zoomScale="85" zoomScaleNormal="85" workbookViewId="0">
      <selection activeCell="A6" sqref="A6"/>
    </sheetView>
  </sheetViews>
  <sheetFormatPr defaultRowHeight="14.4" x14ac:dyDescent="0.3"/>
  <cols>
    <col min="1" max="1" width="25.33203125" bestFit="1" customWidth="1"/>
    <col min="2" max="2" width="8.44140625" bestFit="1" customWidth="1"/>
    <col min="3" max="3" width="111.88671875" bestFit="1" customWidth="1"/>
  </cols>
  <sheetData>
    <row r="1" spans="1:4" x14ac:dyDescent="0.3">
      <c r="A1" t="s">
        <v>0</v>
      </c>
      <c r="B1" t="s">
        <v>77</v>
      </c>
      <c r="C1" t="s">
        <v>79</v>
      </c>
      <c r="D1" t="s">
        <v>78</v>
      </c>
    </row>
    <row r="2" spans="1:4" x14ac:dyDescent="0.3">
      <c r="A2" s="4" t="s">
        <v>144</v>
      </c>
      <c r="B2" s="4"/>
      <c r="C2" s="4" t="s">
        <v>65</v>
      </c>
    </row>
    <row r="3" spans="1:4" x14ac:dyDescent="0.3">
      <c r="A3" s="3" t="s">
        <v>143</v>
      </c>
      <c r="B3" s="3"/>
      <c r="C3" s="3" t="s">
        <v>142</v>
      </c>
    </row>
    <row r="4" spans="1:4" x14ac:dyDescent="0.3">
      <c r="A4" t="s">
        <v>47</v>
      </c>
      <c r="B4" t="s">
        <v>68</v>
      </c>
      <c r="C4" t="s">
        <v>85</v>
      </c>
    </row>
    <row r="5" spans="1:4" x14ac:dyDescent="0.3">
      <c r="A5" t="s">
        <v>48</v>
      </c>
      <c r="B5" t="s">
        <v>68</v>
      </c>
      <c r="C5" t="s">
        <v>60</v>
      </c>
    </row>
    <row r="6" spans="1:4" x14ac:dyDescent="0.3">
      <c r="A6" t="s">
        <v>1</v>
      </c>
      <c r="B6" t="s">
        <v>69</v>
      </c>
    </row>
    <row r="7" spans="1:4" x14ac:dyDescent="0.3">
      <c r="A7" t="s">
        <v>2</v>
      </c>
      <c r="B7" t="s">
        <v>69</v>
      </c>
      <c r="C7" t="s">
        <v>60</v>
      </c>
    </row>
    <row r="8" spans="1:4" x14ac:dyDescent="0.3">
      <c r="A8" t="s">
        <v>3</v>
      </c>
      <c r="B8" t="s">
        <v>68</v>
      </c>
      <c r="C8" t="s">
        <v>82</v>
      </c>
    </row>
    <row r="9" spans="1:4" x14ac:dyDescent="0.3">
      <c r="A9" t="s">
        <v>4</v>
      </c>
      <c r="B9" t="s">
        <v>69</v>
      </c>
    </row>
    <row r="10" spans="1:4" x14ac:dyDescent="0.3">
      <c r="A10" t="s">
        <v>5</v>
      </c>
      <c r="B10" t="s">
        <v>69</v>
      </c>
    </row>
    <row r="11" spans="1:4" x14ac:dyDescent="0.3">
      <c r="A11" t="s">
        <v>6</v>
      </c>
      <c r="B11" t="s">
        <v>69</v>
      </c>
    </row>
    <row r="12" spans="1:4" x14ac:dyDescent="0.3">
      <c r="A12" t="s">
        <v>7</v>
      </c>
      <c r="B12" t="s">
        <v>68</v>
      </c>
      <c r="C12" t="s">
        <v>80</v>
      </c>
    </row>
    <row r="13" spans="1:4" x14ac:dyDescent="0.3">
      <c r="A13" t="s">
        <v>8</v>
      </c>
      <c r="B13" t="s">
        <v>68</v>
      </c>
      <c r="C13" s="1" t="s">
        <v>63</v>
      </c>
    </row>
    <row r="14" spans="1:4" x14ac:dyDescent="0.3">
      <c r="A14" t="s">
        <v>9</v>
      </c>
      <c r="B14" t="s">
        <v>68</v>
      </c>
      <c r="C14" s="1" t="s">
        <v>64</v>
      </c>
    </row>
    <row r="15" spans="1:4" x14ac:dyDescent="0.3">
      <c r="A15" t="s">
        <v>10</v>
      </c>
      <c r="B15" t="s">
        <v>68</v>
      </c>
      <c r="C15" t="s">
        <v>83</v>
      </c>
    </row>
    <row r="16" spans="1:4" x14ac:dyDescent="0.3">
      <c r="A16" t="s">
        <v>11</v>
      </c>
      <c r="B16" t="s">
        <v>68</v>
      </c>
      <c r="C16" t="s">
        <v>83</v>
      </c>
    </row>
    <row r="17" spans="1:3" x14ac:dyDescent="0.3">
      <c r="A17" t="s">
        <v>12</v>
      </c>
      <c r="B17" t="s">
        <v>68</v>
      </c>
      <c r="C17" t="s">
        <v>81</v>
      </c>
    </row>
    <row r="18" spans="1:3" x14ac:dyDescent="0.3">
      <c r="A18" t="s">
        <v>13</v>
      </c>
      <c r="B18" t="s">
        <v>69</v>
      </c>
    </row>
    <row r="19" spans="1:3" x14ac:dyDescent="0.3">
      <c r="A19" t="s">
        <v>49</v>
      </c>
      <c r="B19" t="s">
        <v>68</v>
      </c>
      <c r="C19" s="1" t="s">
        <v>59</v>
      </c>
    </row>
    <row r="20" spans="1:3" x14ac:dyDescent="0.3">
      <c r="A20" t="s">
        <v>14</v>
      </c>
      <c r="B20" t="s">
        <v>68</v>
      </c>
      <c r="C20" t="s">
        <v>62</v>
      </c>
    </row>
    <row r="21" spans="1:3" x14ac:dyDescent="0.3">
      <c r="A21" t="s">
        <v>15</v>
      </c>
      <c r="B21" t="s">
        <v>69</v>
      </c>
    </row>
    <row r="22" spans="1:3" x14ac:dyDescent="0.3">
      <c r="A22" t="s">
        <v>50</v>
      </c>
      <c r="B22" t="s">
        <v>68</v>
      </c>
      <c r="C22" t="s">
        <v>61</v>
      </c>
    </row>
    <row r="23" spans="1:3" x14ac:dyDescent="0.3">
      <c r="A23" t="s">
        <v>16</v>
      </c>
      <c r="B23" t="s">
        <v>68</v>
      </c>
    </row>
    <row r="24" spans="1:3" x14ac:dyDescent="0.3">
      <c r="A24" t="s">
        <v>66</v>
      </c>
      <c r="B24" t="s">
        <v>69</v>
      </c>
    </row>
    <row r="25" spans="1:3" x14ac:dyDescent="0.3">
      <c r="A25" t="s">
        <v>17</v>
      </c>
      <c r="B25" t="s">
        <v>68</v>
      </c>
    </row>
    <row r="26" spans="1:3" x14ac:dyDescent="0.3">
      <c r="A26" t="s">
        <v>18</v>
      </c>
      <c r="B26" t="s">
        <v>69</v>
      </c>
    </row>
    <row r="27" spans="1:3" x14ac:dyDescent="0.3">
      <c r="A27" t="s">
        <v>19</v>
      </c>
      <c r="B27" t="s">
        <v>69</v>
      </c>
    </row>
    <row r="28" spans="1:3" x14ac:dyDescent="0.3">
      <c r="A28" t="s">
        <v>20</v>
      </c>
      <c r="B28" t="s">
        <v>68</v>
      </c>
    </row>
    <row r="29" spans="1:3" x14ac:dyDescent="0.3">
      <c r="A29" t="s">
        <v>21</v>
      </c>
      <c r="B29" t="s">
        <v>68</v>
      </c>
      <c r="C29" t="s">
        <v>84</v>
      </c>
    </row>
    <row r="30" spans="1:3" x14ac:dyDescent="0.3">
      <c r="A30" t="s">
        <v>51</v>
      </c>
      <c r="B30" t="s">
        <v>68</v>
      </c>
      <c r="C30" t="s">
        <v>84</v>
      </c>
    </row>
    <row r="31" spans="1:3" x14ac:dyDescent="0.3">
      <c r="A31" t="s">
        <v>52</v>
      </c>
      <c r="B31" t="s">
        <v>68</v>
      </c>
      <c r="C31" t="s">
        <v>84</v>
      </c>
    </row>
    <row r="32" spans="1:3" x14ac:dyDescent="0.3">
      <c r="A32" t="s">
        <v>22</v>
      </c>
      <c r="B32" t="s">
        <v>69</v>
      </c>
    </row>
    <row r="33" spans="1:4" x14ac:dyDescent="0.3">
      <c r="A33" t="s">
        <v>23</v>
      </c>
      <c r="B33" t="s">
        <v>69</v>
      </c>
    </row>
    <row r="34" spans="1:4" x14ac:dyDescent="0.3">
      <c r="A34" t="s">
        <v>24</v>
      </c>
      <c r="B34" t="s">
        <v>69</v>
      </c>
    </row>
    <row r="35" spans="1:4" x14ac:dyDescent="0.3">
      <c r="A35" t="s">
        <v>25</v>
      </c>
      <c r="B35" t="s">
        <v>69</v>
      </c>
    </row>
    <row r="36" spans="1:4" x14ac:dyDescent="0.3">
      <c r="A36" t="s">
        <v>26</v>
      </c>
      <c r="B36" t="s">
        <v>68</v>
      </c>
      <c r="C36" s="1" t="s">
        <v>58</v>
      </c>
    </row>
    <row r="37" spans="1:4" x14ac:dyDescent="0.3">
      <c r="A37" t="s">
        <v>27</v>
      </c>
      <c r="B37" t="s">
        <v>69</v>
      </c>
      <c r="C37" s="1" t="s">
        <v>56</v>
      </c>
      <c r="D37" t="s">
        <v>57</v>
      </c>
    </row>
    <row r="38" spans="1:4" x14ac:dyDescent="0.3">
      <c r="A38" t="s">
        <v>28</v>
      </c>
      <c r="B38" t="s">
        <v>69</v>
      </c>
      <c r="C38" s="1" t="s">
        <v>55</v>
      </c>
    </row>
    <row r="39" spans="1:4" x14ac:dyDescent="0.3">
      <c r="A39" t="s">
        <v>29</v>
      </c>
      <c r="B39" t="s">
        <v>69</v>
      </c>
      <c r="C39" s="1" t="s">
        <v>54</v>
      </c>
    </row>
    <row r="40" spans="1:4" x14ac:dyDescent="0.3">
      <c r="A40" t="s">
        <v>30</v>
      </c>
      <c r="B40" t="s">
        <v>69</v>
      </c>
      <c r="C40" s="1" t="s">
        <v>53</v>
      </c>
    </row>
    <row r="41" spans="1:4" x14ac:dyDescent="0.3">
      <c r="A41" t="s">
        <v>31</v>
      </c>
      <c r="B41" t="s">
        <v>68</v>
      </c>
    </row>
    <row r="42" spans="1:4" x14ac:dyDescent="0.3">
      <c r="A42" t="s">
        <v>32</v>
      </c>
      <c r="B42" t="s">
        <v>68</v>
      </c>
      <c r="C42" t="s">
        <v>70</v>
      </c>
    </row>
    <row r="43" spans="1:4" x14ac:dyDescent="0.3">
      <c r="A43" t="s">
        <v>33</v>
      </c>
      <c r="B43" t="s">
        <v>69</v>
      </c>
    </row>
  </sheetData>
  <autoFilter ref="A1:D43" xr:uid="{BA17DA89-E85F-4597-B94B-473613FC79D7}">
    <sortState xmlns:xlrd2="http://schemas.microsoft.com/office/spreadsheetml/2017/richdata2" ref="A2:D43">
      <sortCondition ref="A1:A43"/>
    </sortState>
  </autoFilter>
  <hyperlinks>
    <hyperlink ref="C40" r:id="rId1" display="https://www.feedipedia.org/node/527" xr:uid="{9D796F16-2A55-41F2-B066-40FB62D78DA3}"/>
    <hyperlink ref="C39" r:id="rId2" display="https://www.feedipedia.org/node/12806" xr:uid="{0D3F6475-3F7E-4230-BF5D-1B1A9D67D318}"/>
    <hyperlink ref="C38" r:id="rId3" display="https://www.feedipedia.org/node/12663" xr:uid="{850085C4-4E6D-4C43-806A-BA1985D7CE16}"/>
    <hyperlink ref="C37" r:id="rId4" display="https://www.feedipedia.org/node/67" xr:uid="{679D6967-9E8A-4CC2-9A7F-D066F495C0D1}"/>
    <hyperlink ref="C36" r:id="rId5" display="https://www.feedipedia.org/node/11683" xr:uid="{D8DFDFB1-7112-4CB0-892D-35C58DF37EC7}"/>
    <hyperlink ref="C19" r:id="rId6" display="https://www.feedipedia.org/node/11574" xr:uid="{9C3D8932-B7C3-4F23-B5AF-0CCF9B1CF004}"/>
    <hyperlink ref="C13" r:id="rId7" xr:uid="{731F2494-EBD0-4189-90DD-144FE15605E0}"/>
    <hyperlink ref="C14" r:id="rId8" display="https://www.feedipedia.org/node/11687" xr:uid="{0ABC761E-265E-4D42-A75F-0D6FCBFE9A86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all_ingredients</vt:lpstr>
      <vt:lpstr>not_in_use</vt:lpstr>
      <vt:lpstr>formulating</vt:lpstr>
      <vt:lpstr>sources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Tormey Reimer</cp:lastModifiedBy>
  <dcterms:created xsi:type="dcterms:W3CDTF">2025-09-08T01:05:26Z</dcterms:created>
  <dcterms:modified xsi:type="dcterms:W3CDTF">2026-06-03T03:13:45Z</dcterms:modified>
</cp:coreProperties>
</file>