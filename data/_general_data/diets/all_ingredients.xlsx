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reimer\Documents\R-temp-files\local_to_global_mariculture_modelling\data\_general_data\diets\"/>
    </mc:Choice>
  </mc:AlternateContent>
  <xr:revisionPtr revIDLastSave="0" documentId="13_ncr:1_{B98475AB-134A-487C-8ACB-AD58AC4BF895}" xr6:coauthVersionLast="47" xr6:coauthVersionMax="47" xr10:uidLastSave="{00000000-0000-0000-0000-000000000000}"/>
  <bookViews>
    <workbookView xWindow="-28920" yWindow="-1560" windowWidth="29040" windowHeight="15720" xr2:uid="{EACE1C46-B374-4940-8FA1-58EDCA6D9B2B}"/>
  </bookViews>
  <sheets>
    <sheet name="all_ingredients" sheetId="2" r:id="rId1"/>
    <sheet name="sources" sheetId="3" r:id="rId2"/>
  </sheets>
  <definedNames>
    <definedName name="_xlnm._FilterDatabase" localSheetId="0" hidden="1">all_ingredients!$A$1:$O$41</definedName>
    <definedName name="_xlnm._FilterDatabase" localSheetId="1" hidden="1">sources!$A$1:$C$40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2" l="1"/>
  <c r="F21" i="2"/>
  <c r="E21" i="2"/>
  <c r="D21" i="2"/>
  <c r="C21" i="2"/>
  <c r="N2" i="2"/>
  <c r="E20" i="2"/>
  <c r="D20" i="2"/>
  <c r="N30" i="2"/>
  <c r="O30" i="2" s="1"/>
  <c r="K30" i="2"/>
  <c r="L30" i="2" s="1"/>
  <c r="F30" i="2"/>
  <c r="N31" i="2"/>
  <c r="O31" i="2" s="1"/>
  <c r="N23" i="2"/>
  <c r="O23" i="2" s="1"/>
  <c r="N11" i="2"/>
  <c r="O11" i="2"/>
  <c r="N16" i="2"/>
  <c r="O16" i="2" s="1"/>
  <c r="N14" i="2"/>
  <c r="O14" i="2" s="1"/>
  <c r="N18" i="2"/>
  <c r="O18" i="2"/>
  <c r="N35" i="2"/>
  <c r="O35" i="2"/>
  <c r="N24" i="2"/>
  <c r="O24" i="2"/>
  <c r="N34" i="2"/>
  <c r="O34" i="2" s="1"/>
  <c r="N22" i="2"/>
  <c r="O22" i="2" s="1"/>
  <c r="N28" i="2"/>
  <c r="O28" i="2" s="1"/>
  <c r="N10" i="2"/>
  <c r="O10" i="2" s="1"/>
  <c r="N32" i="2"/>
  <c r="O32" i="2" s="1"/>
  <c r="N37" i="2"/>
  <c r="O37" i="2" s="1"/>
  <c r="N41" i="2"/>
  <c r="O41" i="2" s="1"/>
  <c r="N40" i="2"/>
  <c r="O40" i="2" s="1"/>
  <c r="N27" i="2"/>
  <c r="O27" i="2" s="1"/>
  <c r="N39" i="2"/>
  <c r="O39" i="2" s="1"/>
  <c r="N38" i="2"/>
  <c r="O38" i="2"/>
  <c r="N19" i="2"/>
  <c r="O19" i="2"/>
  <c r="N8" i="2"/>
  <c r="O8" i="2"/>
  <c r="N21" i="2"/>
  <c r="O21" i="2"/>
  <c r="N26" i="2"/>
  <c r="O26" i="2" s="1"/>
  <c r="N12" i="2"/>
  <c r="O12" i="2" s="1"/>
  <c r="O2" i="2"/>
  <c r="N3" i="2"/>
  <c r="O3" i="2" s="1"/>
  <c r="N25" i="2"/>
  <c r="O25" i="2" s="1"/>
  <c r="N4" i="2"/>
  <c r="O4" i="2" s="1"/>
  <c r="N5" i="2"/>
  <c r="O5" i="2"/>
  <c r="N29" i="2"/>
  <c r="O29" i="2"/>
  <c r="N7" i="2"/>
  <c r="O7" i="2" s="1"/>
  <c r="N33" i="2"/>
  <c r="O33" i="2" s="1"/>
  <c r="N36" i="2"/>
  <c r="O36" i="2"/>
  <c r="N20" i="2"/>
  <c r="O20" i="2" s="1"/>
  <c r="H28" i="2"/>
  <c r="I28" i="2" s="1"/>
  <c r="H10" i="2"/>
  <c r="I10" i="2" s="1"/>
  <c r="H32" i="2"/>
  <c r="I32" i="2" s="1"/>
  <c r="H37" i="2"/>
  <c r="I37" i="2" s="1"/>
  <c r="H41" i="2"/>
  <c r="I41" i="2" s="1"/>
  <c r="H40" i="2"/>
  <c r="I40" i="2" s="1"/>
  <c r="H27" i="2"/>
  <c r="I27" i="2" s="1"/>
  <c r="H39" i="2"/>
  <c r="I39" i="2" s="1"/>
  <c r="H38" i="2"/>
  <c r="I38" i="2" s="1"/>
  <c r="H19" i="2"/>
  <c r="I19" i="2" s="1"/>
  <c r="H8" i="2"/>
  <c r="I8" i="2" s="1"/>
  <c r="I21" i="2"/>
  <c r="H26" i="2"/>
  <c r="I26" i="2" s="1"/>
  <c r="H12" i="2"/>
  <c r="I12" i="2" s="1"/>
  <c r="H2" i="2"/>
  <c r="I2" i="2" s="1"/>
  <c r="H3" i="2"/>
  <c r="I3" i="2" s="1"/>
  <c r="H25" i="2"/>
  <c r="I25" i="2" s="1"/>
  <c r="H4" i="2"/>
  <c r="I4" i="2" s="1"/>
  <c r="H5" i="2"/>
  <c r="I5" i="2" s="1"/>
  <c r="H29" i="2"/>
  <c r="I29" i="2" s="1"/>
  <c r="H7" i="2"/>
  <c r="I7" i="2" s="1"/>
  <c r="H33" i="2"/>
  <c r="I33" i="2" s="1"/>
  <c r="H36" i="2"/>
  <c r="I36" i="2" s="1"/>
  <c r="H22" i="2"/>
  <c r="I22" i="2" s="1"/>
  <c r="F24" i="2"/>
  <c r="F13" i="2"/>
  <c r="F11" i="2"/>
  <c r="F31" i="2"/>
  <c r="F14" i="2"/>
  <c r="F16" i="2"/>
  <c r="F34" i="2"/>
  <c r="F18" i="2"/>
  <c r="F20" i="2"/>
  <c r="F12" i="2"/>
  <c r="O15" i="2"/>
  <c r="N15" i="2"/>
  <c r="M15" i="2"/>
  <c r="I15" i="2"/>
  <c r="H15" i="2"/>
  <c r="G15" i="2"/>
  <c r="E15" i="2"/>
  <c r="D15" i="2"/>
  <c r="C15" i="2"/>
  <c r="F15" i="2" s="1"/>
  <c r="O17" i="2"/>
  <c r="N17" i="2"/>
  <c r="M17" i="2"/>
  <c r="I17" i="2"/>
  <c r="H17" i="2"/>
  <c r="G17" i="2"/>
  <c r="E17" i="2"/>
  <c r="D17" i="2"/>
  <c r="C17" i="2"/>
  <c r="F17" i="2" s="1"/>
  <c r="O13" i="2"/>
  <c r="N13" i="2"/>
  <c r="K3" i="2"/>
  <c r="L3" i="2" s="1"/>
  <c r="K20" i="2"/>
  <c r="L20" i="2" s="1"/>
  <c r="K17" i="2"/>
  <c r="L17" i="2" s="1"/>
  <c r="K15" i="2"/>
  <c r="L15" i="2" s="1"/>
  <c r="K4" i="2"/>
  <c r="L4" i="2" s="1"/>
  <c r="K5" i="2"/>
  <c r="L5" i="2" s="1"/>
  <c r="K13" i="2"/>
  <c r="L13" i="2" s="1"/>
  <c r="K16" i="2"/>
  <c r="L16" i="2" s="1"/>
  <c r="K8" i="2"/>
  <c r="L8" i="2" s="1"/>
  <c r="K2" i="2"/>
  <c r="L2" i="2" s="1"/>
  <c r="K22" i="2"/>
  <c r="L22" i="2" s="1"/>
  <c r="K11" i="2"/>
  <c r="L11" i="2" s="1"/>
  <c r="K7" i="2"/>
  <c r="L7" i="2" s="1"/>
  <c r="K18" i="2"/>
  <c r="L18" i="2" s="1"/>
  <c r="K10" i="2"/>
  <c r="L10" i="2"/>
  <c r="K9" i="2"/>
  <c r="L9" i="2" s="1"/>
  <c r="K19" i="2"/>
  <c r="L19" i="2" s="1"/>
  <c r="K14" i="2"/>
  <c r="L14" i="2"/>
  <c r="K21" i="2"/>
  <c r="L21" i="2" s="1"/>
  <c r="K23" i="2"/>
  <c r="L23" i="2" s="1"/>
  <c r="K24" i="2"/>
  <c r="L24" i="2" s="1"/>
  <c r="K25" i="2"/>
  <c r="L25" i="2" s="1"/>
  <c r="K26" i="2"/>
  <c r="L26" i="2" s="1"/>
  <c r="K27" i="2"/>
  <c r="L27" i="2" s="1"/>
  <c r="K28" i="2"/>
  <c r="L28" i="2" s="1"/>
  <c r="K29" i="2"/>
  <c r="L29" i="2" s="1"/>
  <c r="K31" i="2"/>
  <c r="L31" i="2" s="1"/>
  <c r="K32" i="2"/>
  <c r="L32" i="2" s="1"/>
  <c r="K33" i="2"/>
  <c r="L33" i="2"/>
  <c r="K34" i="2"/>
  <c r="L34" i="2"/>
  <c r="K35" i="2"/>
  <c r="L35" i="2" s="1"/>
  <c r="K36" i="2"/>
  <c r="L36" i="2" s="1"/>
  <c r="K37" i="2"/>
  <c r="L37" i="2" s="1"/>
  <c r="K38" i="2"/>
  <c r="L38" i="2" s="1"/>
  <c r="K39" i="2"/>
  <c r="L39" i="2" s="1"/>
  <c r="K40" i="2"/>
  <c r="L40" i="2" s="1"/>
  <c r="K41" i="2"/>
  <c r="L41" i="2" s="1"/>
  <c r="K12" i="2"/>
  <c r="L12" i="2" s="1"/>
  <c r="O9" i="2"/>
  <c r="N9" i="2"/>
  <c r="M9" i="2"/>
  <c r="H9" i="2"/>
  <c r="I9" i="2"/>
  <c r="G9" i="2"/>
  <c r="E9" i="2"/>
  <c r="D9" i="2"/>
  <c r="C9" i="2"/>
  <c r="F37" i="2"/>
  <c r="F23" i="2" l="1"/>
  <c r="F9" i="2"/>
</calcChain>
</file>

<file path=xl/sharedStrings.xml><?xml version="1.0" encoding="utf-8"?>
<sst xmlns="http://schemas.openxmlformats.org/spreadsheetml/2006/main" count="158" uniqueCount="75">
  <si>
    <t>ingredient</t>
  </si>
  <si>
    <t>bsf-meal</t>
  </si>
  <si>
    <t>canola-meal</t>
  </si>
  <si>
    <t>canola-oil</t>
  </si>
  <si>
    <t>coconut-oil</t>
  </si>
  <si>
    <t>corn-gluten</t>
  </si>
  <si>
    <t>faba-beans</t>
  </si>
  <si>
    <t>feather-meal</t>
  </si>
  <si>
    <t>fishmeal-forage</t>
  </si>
  <si>
    <t>fishmeal-trimmings</t>
  </si>
  <si>
    <t>fish-oil-forage</t>
  </si>
  <si>
    <t>fish-oil-trimmings</t>
  </si>
  <si>
    <t>guar-meal</t>
  </si>
  <si>
    <t>guar-meal-high-protein</t>
  </si>
  <si>
    <t>krill-meal</t>
  </si>
  <si>
    <t>linseed-oil</t>
  </si>
  <si>
    <t>meat-bone-meal</t>
  </si>
  <si>
    <t>microingredients</t>
  </si>
  <si>
    <t>ovine-meal</t>
  </si>
  <si>
    <t>pea-flour</t>
  </si>
  <si>
    <t>pea-protein-concentrate</t>
  </si>
  <si>
    <t>poultry-meal</t>
  </si>
  <si>
    <t>rapeseed-oil</t>
  </si>
  <si>
    <t>single-cell-protein</t>
  </si>
  <si>
    <t>soybean-meal</t>
  </si>
  <si>
    <t>soybean-oil</t>
  </si>
  <si>
    <t>soy-protein-concentrate</t>
  </si>
  <si>
    <t>spirulina-meal</t>
  </si>
  <si>
    <t>sunflower-meal</t>
  </si>
  <si>
    <t>sunflower-meal-high-protein</t>
  </si>
  <si>
    <t>tapioca</t>
  </si>
  <si>
    <t>wheat</t>
  </si>
  <si>
    <t>wheat-gluten</t>
  </si>
  <si>
    <t>yeast-meal</t>
  </si>
  <si>
    <t>min_protein_digestibility</t>
  </si>
  <si>
    <t>max_protein_digestibility</t>
  </si>
  <si>
    <t>min_lipid_digestibility</t>
  </si>
  <si>
    <t>max_lipid_digestibility</t>
  </si>
  <si>
    <t>min_carb_digestibility</t>
  </si>
  <si>
    <t>max_carb_digestibility</t>
  </si>
  <si>
    <t>mean_protein_digestibility</t>
  </si>
  <si>
    <t>mean_lipid_digestibility</t>
  </si>
  <si>
    <t>mean_carb_digestibility</t>
  </si>
  <si>
    <t>protein</t>
  </si>
  <si>
    <t>lipid</t>
  </si>
  <si>
    <t>ash</t>
  </si>
  <si>
    <t>carb</t>
  </si>
  <si>
    <t>algal-oil</t>
  </si>
  <si>
    <t>amino-acids</t>
  </si>
  <si>
    <t>hemoglobin-powder</t>
  </si>
  <si>
    <t>lupine-meal-dehulled</t>
  </si>
  <si>
    <t>poultry-oil</t>
  </si>
  <si>
    <t>poultry-protein-concentrate</t>
  </si>
  <si>
    <t>Cassava roots | Feedipedia</t>
  </si>
  <si>
    <t>Sunflower meal, solvent-extracted, dehulled and partially dehulled | Feedipedia</t>
  </si>
  <si>
    <t>Sunflower meal, solvent-extracted, dehulled or non-dehulled | Feedipedia</t>
  </si>
  <si>
    <t>Microalgae | Feedipedia</t>
  </si>
  <si>
    <t>Digestibility values?</t>
  </si>
  <si>
    <t>Soybean meal, high protein, type 50 and similar | Feedipedia</t>
  </si>
  <si>
    <t>Blood meal | Feedipedia</t>
  </si>
  <si>
    <t>NA</t>
  </si>
  <si>
    <t>Values for Lupinus albus and L. angustifolius (content and digestibility) from Salini &amp; Adams (2014)</t>
  </si>
  <si>
    <t>Crude values for Antarctic krill (Olsen et al., 2006), AD values from PDKM (Hansen et al., 2010)</t>
  </si>
  <si>
    <t>https://www.feedipedia.org/node/11685</t>
  </si>
  <si>
    <t>Fish meal, 60-68% protein as fed | Feedipedia</t>
  </si>
  <si>
    <t>yellow-highlight</t>
  </si>
  <si>
    <t>All yellow-highlighted cells are taken from Louise's results!</t>
  </si>
  <si>
    <t>grey-highlight</t>
  </si>
  <si>
    <t>All grey-highlighted cells are placeholder values</t>
  </si>
  <si>
    <t>meat-meal</t>
  </si>
  <si>
    <t>in_use</t>
  </si>
  <si>
    <t>T</t>
  </si>
  <si>
    <t>F</t>
  </si>
  <si>
    <t>Lipid and ash concentrations from https://www.sciencedirect.com/science/article/pii/S0044848619316102</t>
  </si>
  <si>
    <t>Proximate composition and digestibility from https://www.sciencedirect.com/science/article/pii/S0044848621007961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</si>
</sst>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7">
    <xf numFmtId="0" fontId="0" fillId="0" borderId="0" xfId="0"/>
    <xf numFmtId="0" fontId="18" fillId="0" borderId="0" xfId="42"/>
    <xf numFmtId="0" fontId="0" fillId="0" borderId="0" xfId="0" applyAlignment="1">
      <alignment wrapText="1"/>
    </xf>
    <xf numFmtId="0" fontId="0" fillId="33" borderId="0" xfId="0" applyFill="1"/>
    <xf numFmtId="0" fontId="0" fillId="34" borderId="0" xfId="0" applyFill="1"/>
    <xf numFmtId="0" fontId="0" fillId="0" borderId="0" xfId="0" applyFill="1"/>
    <xf numFmtId="9" fontId="0" fillId="0" borderId="0" xfId="43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eedipedia.org/node/11687" TargetMode="External"/><Relationship Id="rId3" Type="http://schemas.openxmlformats.org/officeDocument/2006/relationships/hyperlink" Target="https://www.feedipedia.org/node/12663" TargetMode="External"/><Relationship Id="rId7" Type="http://schemas.openxmlformats.org/officeDocument/2006/relationships/hyperlink" Target="https://www.feedipedia.org/node/11685" TargetMode="External"/><Relationship Id="rId2" Type="http://schemas.openxmlformats.org/officeDocument/2006/relationships/hyperlink" Target="https://www.feedipedia.org/node/12806" TargetMode="External"/><Relationship Id="rId1" Type="http://schemas.openxmlformats.org/officeDocument/2006/relationships/hyperlink" Target="https://www.feedipedia.org/node/527" TargetMode="External"/><Relationship Id="rId6" Type="http://schemas.openxmlformats.org/officeDocument/2006/relationships/hyperlink" Target="https://www.feedipedia.org/node/11574" TargetMode="External"/><Relationship Id="rId5" Type="http://schemas.openxmlformats.org/officeDocument/2006/relationships/hyperlink" Target="https://www.feedipedia.org/node/11683" TargetMode="External"/><Relationship Id="rId4" Type="http://schemas.openxmlformats.org/officeDocument/2006/relationships/hyperlink" Target="https://www.feedipedia.org/node/6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86C80-6855-4296-9746-1E92B0D65FFA}">
  <sheetPr filterMode="1"/>
  <dimension ref="A1:O66"/>
  <sheetViews>
    <sheetView tabSelected="1" zoomScaleNormal="100" workbookViewId="0">
      <selection activeCell="G9" sqref="G9"/>
    </sheetView>
  </sheetViews>
  <sheetFormatPr defaultRowHeight="15" x14ac:dyDescent="0.25"/>
  <cols>
    <col min="1" max="1" width="25.28515625" bestFit="1" customWidth="1"/>
    <col min="2" max="2" width="9" bestFit="1" customWidth="1"/>
    <col min="3" max="6" width="12.42578125" bestFit="1" customWidth="1"/>
    <col min="7" max="9" width="16.28515625" bestFit="1" customWidth="1"/>
    <col min="10" max="10" width="16.42578125" bestFit="1" customWidth="1"/>
    <col min="11" max="11" width="16" bestFit="1" customWidth="1"/>
    <col min="12" max="12" width="16.28515625" bestFit="1" customWidth="1"/>
    <col min="13" max="13" width="15.5703125" bestFit="1" customWidth="1"/>
    <col min="14" max="14" width="15.85546875" bestFit="1" customWidth="1"/>
    <col min="15" max="15" width="16.42578125" bestFit="1" customWidth="1"/>
  </cols>
  <sheetData>
    <row r="1" spans="1:15" s="2" customFormat="1" ht="30" x14ac:dyDescent="0.25">
      <c r="A1" s="2" t="s">
        <v>0</v>
      </c>
      <c r="B1" s="2" t="s">
        <v>70</v>
      </c>
      <c r="C1" s="2" t="s">
        <v>43</v>
      </c>
      <c r="D1" s="2" t="s">
        <v>44</v>
      </c>
      <c r="E1" s="2" t="s">
        <v>45</v>
      </c>
      <c r="F1" s="2" t="s">
        <v>46</v>
      </c>
      <c r="G1" s="2" t="s">
        <v>40</v>
      </c>
      <c r="H1" s="2" t="s">
        <v>34</v>
      </c>
      <c r="I1" s="2" t="s">
        <v>35</v>
      </c>
      <c r="J1" s="2" t="s">
        <v>41</v>
      </c>
      <c r="K1" s="2" t="s">
        <v>36</v>
      </c>
      <c r="L1" s="2" t="s">
        <v>37</v>
      </c>
      <c r="M1" s="2" t="s">
        <v>42</v>
      </c>
      <c r="N1" s="2" t="s">
        <v>38</v>
      </c>
      <c r="O1" s="2" t="s">
        <v>39</v>
      </c>
    </row>
    <row r="2" spans="1:15" x14ac:dyDescent="0.25">
      <c r="A2" t="s">
        <v>47</v>
      </c>
      <c r="B2" t="s">
        <v>71</v>
      </c>
      <c r="C2">
        <v>0</v>
      </c>
      <c r="D2">
        <v>1</v>
      </c>
      <c r="E2">
        <v>0</v>
      </c>
      <c r="F2">
        <v>0</v>
      </c>
      <c r="G2" s="5">
        <v>0</v>
      </c>
      <c r="H2" s="5">
        <f>G2*0.95</f>
        <v>0</v>
      </c>
      <c r="I2" s="5">
        <f>H2*1.05</f>
        <v>0</v>
      </c>
      <c r="J2">
        <v>0.96</v>
      </c>
      <c r="K2">
        <f>J2</f>
        <v>0.96</v>
      </c>
      <c r="L2">
        <f>K2</f>
        <v>0.96</v>
      </c>
      <c r="M2" s="5">
        <v>0</v>
      </c>
      <c r="N2" s="5">
        <f>M2*0.95</f>
        <v>0</v>
      </c>
      <c r="O2" s="5">
        <f>N2*1.05</f>
        <v>0</v>
      </c>
    </row>
    <row r="3" spans="1:15" x14ac:dyDescent="0.25">
      <c r="A3" t="s">
        <v>3</v>
      </c>
      <c r="B3" t="s">
        <v>71</v>
      </c>
      <c r="C3">
        <v>0</v>
      </c>
      <c r="D3">
        <v>1</v>
      </c>
      <c r="E3">
        <v>0</v>
      </c>
      <c r="F3">
        <v>0</v>
      </c>
      <c r="G3" s="5">
        <v>0</v>
      </c>
      <c r="H3" s="5">
        <f>G3*0.95</f>
        <v>0</v>
      </c>
      <c r="I3" s="5">
        <f>H3*1.05</f>
        <v>0</v>
      </c>
      <c r="J3">
        <v>0.96</v>
      </c>
      <c r="K3">
        <f>J3</f>
        <v>0.96</v>
      </c>
      <c r="L3">
        <f>K3</f>
        <v>0.96</v>
      </c>
      <c r="M3" s="5">
        <v>0</v>
      </c>
      <c r="N3" s="5">
        <f>M3*0.95</f>
        <v>0</v>
      </c>
      <c r="O3" s="5">
        <f>N3*1.05</f>
        <v>0</v>
      </c>
    </row>
    <row r="4" spans="1:15" x14ac:dyDescent="0.25">
      <c r="A4" t="s">
        <v>10</v>
      </c>
      <c r="B4" t="s">
        <v>71</v>
      </c>
      <c r="C4">
        <v>0</v>
      </c>
      <c r="D4">
        <v>1</v>
      </c>
      <c r="E4">
        <v>0</v>
      </c>
      <c r="F4">
        <v>0</v>
      </c>
      <c r="G4" s="5">
        <v>0</v>
      </c>
      <c r="H4" s="5">
        <f>G4*0.95</f>
        <v>0</v>
      </c>
      <c r="I4" s="5">
        <f>H4*1.05</f>
        <v>0</v>
      </c>
      <c r="J4">
        <v>0.96</v>
      </c>
      <c r="K4">
        <f>J4</f>
        <v>0.96</v>
      </c>
      <c r="L4">
        <f>K4</f>
        <v>0.96</v>
      </c>
      <c r="M4" s="5">
        <v>0</v>
      </c>
      <c r="N4" s="5">
        <f>M4*0.95</f>
        <v>0</v>
      </c>
      <c r="O4" s="5">
        <f>N4*1.05</f>
        <v>0</v>
      </c>
    </row>
    <row r="5" spans="1:15" x14ac:dyDescent="0.25">
      <c r="A5" t="s">
        <v>11</v>
      </c>
      <c r="B5" t="s">
        <v>71</v>
      </c>
      <c r="C5">
        <v>0</v>
      </c>
      <c r="D5">
        <v>1</v>
      </c>
      <c r="E5">
        <v>0</v>
      </c>
      <c r="F5">
        <v>0</v>
      </c>
      <c r="G5" s="5">
        <v>0</v>
      </c>
      <c r="H5" s="5">
        <f>G5*0.95</f>
        <v>0</v>
      </c>
      <c r="I5" s="5">
        <f>H5*1.05</f>
        <v>0</v>
      </c>
      <c r="J5">
        <v>0.96</v>
      </c>
      <c r="K5">
        <f>J5</f>
        <v>0.96</v>
      </c>
      <c r="L5">
        <f>K5</f>
        <v>0.96</v>
      </c>
      <c r="M5" s="5">
        <v>0</v>
      </c>
      <c r="N5" s="5">
        <f>M5*0.95</f>
        <v>0</v>
      </c>
      <c r="O5" s="5">
        <f>N5*1.05</f>
        <v>0</v>
      </c>
    </row>
    <row r="6" spans="1:15" x14ac:dyDescent="0.25">
      <c r="A6" t="s">
        <v>17</v>
      </c>
      <c r="B6" t="s">
        <v>71</v>
      </c>
      <c r="C6">
        <v>0</v>
      </c>
      <c r="D6">
        <v>0</v>
      </c>
      <c r="E6">
        <v>0</v>
      </c>
      <c r="F6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</row>
    <row r="7" spans="1:15" x14ac:dyDescent="0.25">
      <c r="A7" t="s">
        <v>51</v>
      </c>
      <c r="B7" t="s">
        <v>71</v>
      </c>
      <c r="C7">
        <v>0</v>
      </c>
      <c r="D7">
        <v>1</v>
      </c>
      <c r="E7">
        <v>0</v>
      </c>
      <c r="F7">
        <v>0</v>
      </c>
      <c r="G7" s="5">
        <v>0</v>
      </c>
      <c r="H7" s="5">
        <f>G7*0.95</f>
        <v>0</v>
      </c>
      <c r="I7" s="5">
        <f>H7*1.05</f>
        <v>0</v>
      </c>
      <c r="J7">
        <v>0.96</v>
      </c>
      <c r="K7">
        <f>J7</f>
        <v>0.96</v>
      </c>
      <c r="L7">
        <f>K7</f>
        <v>0.96</v>
      </c>
      <c r="M7" s="5">
        <v>0</v>
      </c>
      <c r="N7" s="5">
        <f>M7*0.95</f>
        <v>0</v>
      </c>
      <c r="O7" s="5">
        <f>N7*1.05</f>
        <v>0</v>
      </c>
    </row>
    <row r="8" spans="1:15" x14ac:dyDescent="0.25">
      <c r="A8" t="s">
        <v>31</v>
      </c>
      <c r="B8" t="s">
        <v>71</v>
      </c>
      <c r="C8">
        <v>0.13</v>
      </c>
      <c r="D8">
        <v>0.02</v>
      </c>
      <c r="E8">
        <v>0.02</v>
      </c>
      <c r="F8">
        <v>0.84</v>
      </c>
      <c r="G8">
        <v>0.9</v>
      </c>
      <c r="H8" s="4">
        <f>G8*0.95</f>
        <v>0.85499999999999998</v>
      </c>
      <c r="I8" s="4">
        <f>H8*1.05</f>
        <v>0.89775000000000005</v>
      </c>
      <c r="J8">
        <v>0.96</v>
      </c>
      <c r="K8">
        <f>J8</f>
        <v>0.96</v>
      </c>
      <c r="L8">
        <f>K8</f>
        <v>0.96</v>
      </c>
      <c r="M8">
        <v>0.8</v>
      </c>
      <c r="N8" s="4">
        <f>M8*0.95</f>
        <v>0.76</v>
      </c>
      <c r="O8" s="4">
        <f>N8*1.05</f>
        <v>0.79800000000000004</v>
      </c>
    </row>
    <row r="9" spans="1:15" x14ac:dyDescent="0.25">
      <c r="A9" t="s">
        <v>50</v>
      </c>
      <c r="B9" t="s">
        <v>71</v>
      </c>
      <c r="C9">
        <f>AVERAGE(420.2,405.3,420.2,403.8,390.7,468.4)/1000</f>
        <v>0.41809999999999997</v>
      </c>
      <c r="D9">
        <f>AVERAGE(175.4,153.9,171.8,132.3,106.7,100.1)/1000</f>
        <v>0.14003333333333337</v>
      </c>
      <c r="E9">
        <f>AVERAGE(28.6,37.6,28,37.3,25.9,29.7)/1000</f>
        <v>3.1183333333333334E-2</v>
      </c>
      <c r="F9">
        <f>1-SUM(C9:E9)</f>
        <v>0.41068333333333329</v>
      </c>
      <c r="G9">
        <f>AVERAGE(89.5,89.3,87.9,88.2,89.3,90.1)/100</f>
        <v>0.89050000000000007</v>
      </c>
      <c r="H9">
        <f>MIN(89.5,89.3,87.9,88.2,89.3,90.1)/100</f>
        <v>0.879</v>
      </c>
      <c r="I9">
        <f>MAX(89.5,89.3,87.9,88.2,89.3,90.1)/100</f>
        <v>0.90099999999999991</v>
      </c>
      <c r="J9">
        <v>0.96</v>
      </c>
      <c r="K9">
        <f>J9</f>
        <v>0.96</v>
      </c>
      <c r="L9">
        <f>K9</f>
        <v>0.96</v>
      </c>
      <c r="M9">
        <f>AVERAGE(79.7,80.2,80,80,81.2,77.4)/100</f>
        <v>0.79749999999999999</v>
      </c>
      <c r="N9">
        <f>MIN(79.7,80.2,80,80,81.2,77.4)/100</f>
        <v>0.77400000000000002</v>
      </c>
      <c r="O9">
        <f>MAX(79.7,80.2,80,80,81.2,77.4)/100</f>
        <v>0.81200000000000006</v>
      </c>
    </row>
    <row r="10" spans="1:15" x14ac:dyDescent="0.25">
      <c r="A10" t="s">
        <v>12</v>
      </c>
      <c r="B10" t="s">
        <v>71</v>
      </c>
      <c r="C10">
        <v>0.42</v>
      </c>
      <c r="D10">
        <v>5.2999999999999999E-2</v>
      </c>
      <c r="E10">
        <v>5.8000000000000003E-2</v>
      </c>
      <c r="F10">
        <v>0.46899999999999997</v>
      </c>
      <c r="G10">
        <v>0.63000000000000012</v>
      </c>
      <c r="H10" s="4">
        <f>G10*0.95</f>
        <v>0.59850000000000003</v>
      </c>
      <c r="I10" s="4">
        <f>H10*1.05</f>
        <v>0.62842500000000001</v>
      </c>
      <c r="J10">
        <v>0.96</v>
      </c>
      <c r="K10">
        <f>J10</f>
        <v>0.96</v>
      </c>
      <c r="L10">
        <f>K10</f>
        <v>0.96</v>
      </c>
      <c r="M10">
        <v>0.65000000000000013</v>
      </c>
      <c r="N10" s="4">
        <f>M10*0.95</f>
        <v>0.61750000000000005</v>
      </c>
      <c r="O10" s="4">
        <f>N10*1.05</f>
        <v>0.64837500000000003</v>
      </c>
    </row>
    <row r="11" spans="1:15" x14ac:dyDescent="0.25">
      <c r="A11" t="s">
        <v>16</v>
      </c>
      <c r="B11" t="s">
        <v>71</v>
      </c>
      <c r="C11" s="3">
        <v>0.53783333333333327</v>
      </c>
      <c r="D11" s="4">
        <v>5.3001754385964918E-2</v>
      </c>
      <c r="E11" s="4">
        <v>7.6272807017543895E-2</v>
      </c>
      <c r="F11" s="4">
        <f>1-SUM(C11:E11)</f>
        <v>0.33289210526315793</v>
      </c>
      <c r="G11" s="3">
        <v>0.83030542718534828</v>
      </c>
      <c r="H11" s="3">
        <v>0.72499626396843553</v>
      </c>
      <c r="I11" s="3">
        <v>0.91940803995423626</v>
      </c>
      <c r="J11">
        <v>0.96</v>
      </c>
      <c r="K11">
        <f>J11</f>
        <v>0.96</v>
      </c>
      <c r="L11">
        <f>K11</f>
        <v>0.96</v>
      </c>
      <c r="M11">
        <v>0.68700000000000006</v>
      </c>
      <c r="N11" s="4">
        <f>M11*0.95</f>
        <v>0.65265000000000006</v>
      </c>
      <c r="O11" s="4">
        <f>N11*1.05</f>
        <v>0.68528250000000013</v>
      </c>
    </row>
    <row r="12" spans="1:15" x14ac:dyDescent="0.25">
      <c r="A12" t="s">
        <v>48</v>
      </c>
      <c r="B12" t="s">
        <v>71</v>
      </c>
      <c r="C12" s="4">
        <v>0.54631047778486397</v>
      </c>
      <c r="D12" s="4">
        <v>5.3001754385964918E-2</v>
      </c>
      <c r="E12" s="4">
        <v>7.6272807017543853E-2</v>
      </c>
      <c r="F12" s="4">
        <f>1-SUM(C12:E12)</f>
        <v>0.32441496081162735</v>
      </c>
      <c r="G12" s="4">
        <v>0.84588505065844988</v>
      </c>
      <c r="H12" s="4">
        <f>G12*0.95</f>
        <v>0.80359079812552736</v>
      </c>
      <c r="I12" s="4">
        <f>H12*1.05</f>
        <v>0.84377033803180379</v>
      </c>
      <c r="J12">
        <v>0.96</v>
      </c>
      <c r="K12">
        <f>J12</f>
        <v>0.96</v>
      </c>
      <c r="L12">
        <f>K12</f>
        <v>0.96</v>
      </c>
      <c r="M12" s="4">
        <v>0.71148214285714262</v>
      </c>
      <c r="N12" s="4">
        <f>M12*0.95</f>
        <v>0.67590803571428548</v>
      </c>
      <c r="O12" s="4">
        <f>N12*1.05</f>
        <v>0.70970343749999976</v>
      </c>
    </row>
    <row r="13" spans="1:15" x14ac:dyDescent="0.25">
      <c r="A13" t="s">
        <v>14</v>
      </c>
      <c r="B13" t="s">
        <v>71</v>
      </c>
      <c r="C13" s="3">
        <v>0.55099999999999993</v>
      </c>
      <c r="D13" s="4">
        <v>5.3001754385964918E-2</v>
      </c>
      <c r="E13" s="4">
        <v>7.6272807017543895E-2</v>
      </c>
      <c r="F13" s="4">
        <f>1-SUM(C13:E13)</f>
        <v>0.31972543859649127</v>
      </c>
      <c r="G13" s="3">
        <v>0.87768651689443133</v>
      </c>
      <c r="H13" s="3">
        <v>0.86929340553071388</v>
      </c>
      <c r="I13" s="3">
        <v>0.8855203903303821</v>
      </c>
      <c r="J13">
        <v>0.96</v>
      </c>
      <c r="K13">
        <f>J13</f>
        <v>0.96</v>
      </c>
      <c r="L13">
        <f>K13</f>
        <v>0.96</v>
      </c>
      <c r="M13">
        <v>0.59399999999999997</v>
      </c>
      <c r="N13">
        <f>M13-3*(2.16/100)</f>
        <v>0.5292</v>
      </c>
      <c r="O13">
        <f>M13+3*(2.16/100)</f>
        <v>0.65879999999999994</v>
      </c>
    </row>
    <row r="14" spans="1:15" x14ac:dyDescent="0.25">
      <c r="A14" t="s">
        <v>26</v>
      </c>
      <c r="B14" t="s">
        <v>71</v>
      </c>
      <c r="C14" s="3">
        <v>0.66174999999999995</v>
      </c>
      <c r="D14" s="4">
        <v>5.3001754385964918E-2</v>
      </c>
      <c r="E14" s="4">
        <v>7.6272807017543895E-2</v>
      </c>
      <c r="F14" s="4">
        <f>1-SUM(C14:E14)</f>
        <v>0.20897543859649126</v>
      </c>
      <c r="G14" s="3">
        <v>0.87600843567991216</v>
      </c>
      <c r="H14" s="3">
        <v>0.82061188906613214</v>
      </c>
      <c r="I14" s="3">
        <v>0.92710478819527709</v>
      </c>
      <c r="J14">
        <v>0.96</v>
      </c>
      <c r="K14">
        <f>J14</f>
        <v>0.96</v>
      </c>
      <c r="L14">
        <f>K14</f>
        <v>0.96</v>
      </c>
      <c r="M14">
        <v>0.875</v>
      </c>
      <c r="N14" s="4">
        <f>M14*0.95</f>
        <v>0.83124999999999993</v>
      </c>
      <c r="O14" s="4">
        <f>N14*1.05</f>
        <v>0.87281249999999999</v>
      </c>
    </row>
    <row r="15" spans="1:15" x14ac:dyDescent="0.25">
      <c r="A15" t="s">
        <v>9</v>
      </c>
      <c r="B15" t="s">
        <v>71</v>
      </c>
      <c r="C15">
        <f>70.6/100</f>
        <v>0.70599999999999996</v>
      </c>
      <c r="D15">
        <f>9.9/100</f>
        <v>9.9000000000000005E-2</v>
      </c>
      <c r="E15">
        <f>18.4/100</f>
        <v>0.184</v>
      </c>
      <c r="F15">
        <f>1-SUM(C15:E15)</f>
        <v>1.1000000000000121E-2</v>
      </c>
      <c r="G15">
        <f>87.7/100</f>
        <v>0.877</v>
      </c>
      <c r="H15">
        <f>83.1/100</f>
        <v>0.83099999999999996</v>
      </c>
      <c r="I15">
        <f>91.7/100</f>
        <v>0.91700000000000004</v>
      </c>
      <c r="J15">
        <v>0.96</v>
      </c>
      <c r="K15">
        <f>J15</f>
        <v>0.96</v>
      </c>
      <c r="L15">
        <f>K15</f>
        <v>0.96</v>
      </c>
      <c r="M15">
        <f>81.7/100</f>
        <v>0.81700000000000006</v>
      </c>
      <c r="N15">
        <f>71.8/100</f>
        <v>0.71799999999999997</v>
      </c>
      <c r="O15">
        <f>91.6/100</f>
        <v>0.91599999999999993</v>
      </c>
    </row>
    <row r="16" spans="1:15" x14ac:dyDescent="0.25">
      <c r="A16" t="s">
        <v>21</v>
      </c>
      <c r="B16" t="s">
        <v>71</v>
      </c>
      <c r="C16" s="3">
        <v>0.72292857142857125</v>
      </c>
      <c r="D16" s="4">
        <v>5.3001754385964918E-2</v>
      </c>
      <c r="E16" s="4">
        <v>7.6272807017543895E-2</v>
      </c>
      <c r="F16" s="4">
        <f>1-SUM(C16:E16)</f>
        <v>0.14779686716791995</v>
      </c>
      <c r="G16" s="3">
        <v>0.86610883281803486</v>
      </c>
      <c r="H16" s="3">
        <v>0.79747397943132614</v>
      </c>
      <c r="I16" s="3">
        <v>0.93373585381326751</v>
      </c>
      <c r="J16">
        <v>0.96</v>
      </c>
      <c r="K16">
        <f>J16</f>
        <v>0.96</v>
      </c>
      <c r="L16">
        <f>K16</f>
        <v>0.96</v>
      </c>
      <c r="M16">
        <v>0.68899999999999995</v>
      </c>
      <c r="N16" s="4">
        <f>M16*0.95</f>
        <v>0.65454999999999997</v>
      </c>
      <c r="O16" s="4">
        <f>N16*1.05</f>
        <v>0.68727749999999999</v>
      </c>
    </row>
    <row r="17" spans="1:15" x14ac:dyDescent="0.25">
      <c r="A17" t="s">
        <v>8</v>
      </c>
      <c r="B17" t="s">
        <v>71</v>
      </c>
      <c r="C17">
        <f>75.4/100</f>
        <v>0.754</v>
      </c>
      <c r="D17">
        <f>11/100</f>
        <v>0.11</v>
      </c>
      <c r="E17">
        <f>13.6/100</f>
        <v>0.13600000000000001</v>
      </c>
      <c r="F17">
        <f>1-SUM(C17:E17)</f>
        <v>0</v>
      </c>
      <c r="G17">
        <f>90.7/100</f>
        <v>0.90700000000000003</v>
      </c>
      <c r="H17">
        <f>87.5/100</f>
        <v>0.875</v>
      </c>
      <c r="I17">
        <f>93.6/100</f>
        <v>0.93599999999999994</v>
      </c>
      <c r="J17">
        <v>0.96</v>
      </c>
      <c r="K17">
        <f>J17</f>
        <v>0.96</v>
      </c>
      <c r="L17">
        <f>K17</f>
        <v>0.96</v>
      </c>
      <c r="M17">
        <f>83.3/100</f>
        <v>0.83299999999999996</v>
      </c>
      <c r="N17">
        <f>74.5/100</f>
        <v>0.745</v>
      </c>
      <c r="O17">
        <f>92.6/100</f>
        <v>0.92599999999999993</v>
      </c>
    </row>
    <row r="18" spans="1:15" x14ac:dyDescent="0.25">
      <c r="A18" t="s">
        <v>52</v>
      </c>
      <c r="B18" t="s">
        <v>71</v>
      </c>
      <c r="C18" s="3">
        <v>0.81849999999999989</v>
      </c>
      <c r="D18" s="4">
        <v>5.3001754385964918E-2</v>
      </c>
      <c r="E18" s="4">
        <v>7.6272807017543895E-2</v>
      </c>
      <c r="F18" s="4">
        <f>1-SUM(C18:E18)</f>
        <v>5.2225438596491314E-2</v>
      </c>
      <c r="G18" s="3">
        <v>0.88381879361953863</v>
      </c>
      <c r="H18" s="3">
        <v>0.87650883500487808</v>
      </c>
      <c r="I18" s="3">
        <v>0.88785013351798359</v>
      </c>
      <c r="J18">
        <v>0.96</v>
      </c>
      <c r="K18">
        <f>J18</f>
        <v>0.96</v>
      </c>
      <c r="L18">
        <f>K18</f>
        <v>0.96</v>
      </c>
      <c r="M18">
        <v>0.88000000000000012</v>
      </c>
      <c r="N18" s="4">
        <f>M18*0.95</f>
        <v>0.83600000000000008</v>
      </c>
      <c r="O18" s="4">
        <f>N18*1.05</f>
        <v>0.87780000000000014</v>
      </c>
    </row>
    <row r="19" spans="1:15" x14ac:dyDescent="0.25">
      <c r="A19" t="s">
        <v>20</v>
      </c>
      <c r="B19" t="s">
        <v>71</v>
      </c>
      <c r="C19">
        <v>0.84</v>
      </c>
      <c r="D19">
        <v>0.05</v>
      </c>
      <c r="E19">
        <v>0.04</v>
      </c>
      <c r="F19">
        <v>7.0000000000000007E-2</v>
      </c>
      <c r="G19">
        <v>0.88</v>
      </c>
      <c r="H19" s="4">
        <f>G19*0.95</f>
        <v>0.83599999999999997</v>
      </c>
      <c r="I19" s="4">
        <f>H19*1.05</f>
        <v>0.87780000000000002</v>
      </c>
      <c r="J19">
        <v>0.96</v>
      </c>
      <c r="K19">
        <f>J19</f>
        <v>0.96</v>
      </c>
      <c r="L19">
        <f>K19</f>
        <v>0.96</v>
      </c>
      <c r="M19">
        <v>0.77</v>
      </c>
      <c r="N19" s="4">
        <f>M19*0.95</f>
        <v>0.73149999999999993</v>
      </c>
      <c r="O19" s="4">
        <f>N19*1.05</f>
        <v>0.76807499999999995</v>
      </c>
    </row>
    <row r="20" spans="1:15" x14ac:dyDescent="0.25">
      <c r="A20" t="s">
        <v>7</v>
      </c>
      <c r="B20" t="s">
        <v>71</v>
      </c>
      <c r="C20" s="3">
        <v>0.84332031250000017</v>
      </c>
      <c r="D20" s="5">
        <f>68.2/1000</f>
        <v>6.8199999999999997E-2</v>
      </c>
      <c r="E20" s="5">
        <f>18.4/1000</f>
        <v>1.84E-2</v>
      </c>
      <c r="F20" s="5">
        <f>1-SUM(C20:E20)</f>
        <v>7.0079687499999821E-2</v>
      </c>
      <c r="G20" s="3">
        <v>0.86865425652074602</v>
      </c>
      <c r="H20" s="3">
        <v>0.7583166684730156</v>
      </c>
      <c r="I20" s="3">
        <v>0.9473983023876531</v>
      </c>
      <c r="J20">
        <v>0.96</v>
      </c>
      <c r="K20">
        <f>J20</f>
        <v>0.96</v>
      </c>
      <c r="L20">
        <f>K20</f>
        <v>0.96</v>
      </c>
      <c r="M20">
        <v>0.78</v>
      </c>
      <c r="N20" s="4">
        <f>M20*0.95</f>
        <v>0.74099999999999999</v>
      </c>
      <c r="O20" s="4">
        <f>N20*1.05</f>
        <v>0.77805000000000002</v>
      </c>
    </row>
    <row r="21" spans="1:15" x14ac:dyDescent="0.25">
      <c r="A21" t="s">
        <v>32</v>
      </c>
      <c r="B21" t="s">
        <v>71</v>
      </c>
      <c r="C21">
        <f>766/1000</f>
        <v>0.76600000000000001</v>
      </c>
      <c r="D21">
        <f>74/1000</f>
        <v>7.3999999999999996E-2</v>
      </c>
      <c r="E21">
        <f>7/1000</f>
        <v>7.0000000000000001E-3</v>
      </c>
      <c r="F21">
        <f>1-SUM(C21:E21)</f>
        <v>0.15300000000000002</v>
      </c>
      <c r="G21">
        <v>0.89</v>
      </c>
      <c r="H21" s="4">
        <f>G21*0.95</f>
        <v>0.84549999999999992</v>
      </c>
      <c r="I21" s="4">
        <f>H21*1.05</f>
        <v>0.88777499999999998</v>
      </c>
      <c r="J21">
        <v>0.96</v>
      </c>
      <c r="K21">
        <f>J21</f>
        <v>0.96</v>
      </c>
      <c r="L21">
        <f>K21</f>
        <v>0.96</v>
      </c>
      <c r="M21">
        <v>0.75</v>
      </c>
      <c r="N21" s="4">
        <f>M21*0.95</f>
        <v>0.71249999999999991</v>
      </c>
      <c r="O21" s="4">
        <f>N21*1.05</f>
        <v>0.74812499999999993</v>
      </c>
    </row>
    <row r="22" spans="1:15" x14ac:dyDescent="0.25">
      <c r="A22" t="s">
        <v>49</v>
      </c>
      <c r="B22" t="s">
        <v>71</v>
      </c>
      <c r="C22">
        <v>0.94099999999999995</v>
      </c>
      <c r="D22">
        <v>0.08</v>
      </c>
      <c r="E22">
        <v>0</v>
      </c>
      <c r="F22">
        <v>0</v>
      </c>
      <c r="G22">
        <v>0.622</v>
      </c>
      <c r="H22" s="4">
        <f>G22*0.95</f>
        <v>0.59089999999999998</v>
      </c>
      <c r="I22" s="4">
        <f>H22*1.05</f>
        <v>0.62044500000000002</v>
      </c>
      <c r="J22">
        <v>0.96</v>
      </c>
      <c r="K22">
        <f>J22</f>
        <v>0.96</v>
      </c>
      <c r="L22">
        <f>K22</f>
        <v>0.96</v>
      </c>
      <c r="M22">
        <v>0.60399999999999998</v>
      </c>
      <c r="N22" s="4">
        <f>M22*0.95</f>
        <v>0.57379999999999998</v>
      </c>
      <c r="O22" s="4">
        <f>N22*1.05</f>
        <v>0.60248999999999997</v>
      </c>
    </row>
    <row r="23" spans="1:15" hidden="1" x14ac:dyDescent="0.25">
      <c r="A23" t="s">
        <v>1</v>
      </c>
      <c r="B23" t="s">
        <v>72</v>
      </c>
      <c r="C23" s="3">
        <v>0.56775000000000009</v>
      </c>
      <c r="D23">
        <v>0.12</v>
      </c>
      <c r="E23">
        <v>0.13</v>
      </c>
      <c r="F23">
        <f>1-SUM(C23:E23)</f>
        <v>0.18224999999999991</v>
      </c>
      <c r="G23" s="3">
        <v>0.86264614774680892</v>
      </c>
      <c r="H23" s="3">
        <v>0.71937060515209228</v>
      </c>
      <c r="I23" s="3">
        <v>0.9363167126299663</v>
      </c>
      <c r="J23">
        <v>0.96</v>
      </c>
      <c r="K23">
        <f>J23</f>
        <v>0.96</v>
      </c>
      <c r="L23">
        <f>K23</f>
        <v>0.96</v>
      </c>
      <c r="M23">
        <v>0.41000000000000003</v>
      </c>
      <c r="N23" s="4">
        <f>M23*0.95</f>
        <v>0.38950000000000001</v>
      </c>
      <c r="O23" s="4">
        <f>N23*1.05</f>
        <v>0.40897500000000003</v>
      </c>
    </row>
    <row r="24" spans="1:15" hidden="1" x14ac:dyDescent="0.25">
      <c r="A24" t="s">
        <v>2</v>
      </c>
      <c r="B24" t="s">
        <v>72</v>
      </c>
      <c r="C24" s="3">
        <v>0.32650000000000001</v>
      </c>
      <c r="D24" s="4">
        <v>5.3001754385964918E-2</v>
      </c>
      <c r="E24" s="4">
        <v>7.6272807017543895E-2</v>
      </c>
      <c r="F24" s="4">
        <f>1-SUM(C24:E24)</f>
        <v>0.54422543859649108</v>
      </c>
      <c r="G24" s="3">
        <v>0.91108708069547573</v>
      </c>
      <c r="H24" s="3">
        <v>0.88845319139472811</v>
      </c>
      <c r="I24" s="3">
        <v>0.93104235892070819</v>
      </c>
      <c r="J24">
        <v>0.96</v>
      </c>
      <c r="K24">
        <f>J24</f>
        <v>0.96</v>
      </c>
      <c r="L24">
        <f>K24</f>
        <v>0.96</v>
      </c>
      <c r="M24">
        <v>0.68600000000000005</v>
      </c>
      <c r="N24" s="4">
        <f>M24*0.95</f>
        <v>0.65170000000000006</v>
      </c>
      <c r="O24" s="4">
        <f>N24*1.05</f>
        <v>0.68428500000000014</v>
      </c>
    </row>
    <row r="25" spans="1:15" hidden="1" x14ac:dyDescent="0.25">
      <c r="A25" t="s">
        <v>4</v>
      </c>
      <c r="B25" t="s">
        <v>72</v>
      </c>
      <c r="C25">
        <v>0</v>
      </c>
      <c r="D25">
        <v>1</v>
      </c>
      <c r="E25">
        <v>0</v>
      </c>
      <c r="F25">
        <v>0</v>
      </c>
      <c r="G25" s="4">
        <v>0.84588505065844988</v>
      </c>
      <c r="H25" s="4">
        <f>G25*0.95</f>
        <v>0.80359079812552736</v>
      </c>
      <c r="I25" s="4">
        <f>H25*1.05</f>
        <v>0.84377033803180379</v>
      </c>
      <c r="J25">
        <v>0.96</v>
      </c>
      <c r="K25">
        <f>J25</f>
        <v>0.96</v>
      </c>
      <c r="L25">
        <f>K25</f>
        <v>0.96</v>
      </c>
      <c r="M25" s="4">
        <v>0.71148214285714262</v>
      </c>
      <c r="N25" s="4">
        <f>M25*0.95</f>
        <v>0.67590803571428548</v>
      </c>
      <c r="O25" s="4">
        <f>N25*1.05</f>
        <v>0.70970343749999976</v>
      </c>
    </row>
    <row r="26" spans="1:15" hidden="1" x14ac:dyDescent="0.25">
      <c r="A26" t="s">
        <v>5</v>
      </c>
      <c r="B26" t="s">
        <v>72</v>
      </c>
      <c r="C26">
        <v>0.68</v>
      </c>
      <c r="D26">
        <v>7.0000000000000007E-2</v>
      </c>
      <c r="E26">
        <v>0.02</v>
      </c>
      <c r="F26">
        <v>0.24</v>
      </c>
      <c r="G26">
        <v>0.94</v>
      </c>
      <c r="H26" s="4">
        <f>G26*0.95</f>
        <v>0.8929999999999999</v>
      </c>
      <c r="I26" s="4">
        <f>H26*1.05</f>
        <v>0.93764999999999998</v>
      </c>
      <c r="J26">
        <v>0.96</v>
      </c>
      <c r="K26">
        <f>J26</f>
        <v>0.96</v>
      </c>
      <c r="L26">
        <f>K26</f>
        <v>0.96</v>
      </c>
      <c r="M26">
        <v>0.83</v>
      </c>
      <c r="N26" s="4">
        <f>M26*0.95</f>
        <v>0.78849999999999998</v>
      </c>
      <c r="O26" s="4">
        <f>N26*1.05</f>
        <v>0.82792500000000002</v>
      </c>
    </row>
    <row r="27" spans="1:15" hidden="1" x14ac:dyDescent="0.25">
      <c r="A27" t="s">
        <v>6</v>
      </c>
      <c r="B27" t="s">
        <v>72</v>
      </c>
      <c r="C27">
        <v>0.3</v>
      </c>
      <c r="D27">
        <v>0.02</v>
      </c>
      <c r="E27">
        <v>0.04</v>
      </c>
      <c r="F27">
        <v>0.65</v>
      </c>
      <c r="G27">
        <v>0.86</v>
      </c>
      <c r="H27" s="4">
        <f>G27*0.95</f>
        <v>0.81699999999999995</v>
      </c>
      <c r="I27" s="4">
        <f>H27*1.05</f>
        <v>0.85785</v>
      </c>
      <c r="J27">
        <v>0.96</v>
      </c>
      <c r="K27">
        <f>J27</f>
        <v>0.96</v>
      </c>
      <c r="L27">
        <f>K27</f>
        <v>0.96</v>
      </c>
      <c r="M27">
        <v>0.6</v>
      </c>
      <c r="N27" s="4">
        <f>M27*0.95</f>
        <v>0.56999999999999995</v>
      </c>
      <c r="O27" s="4">
        <f>N27*1.05</f>
        <v>0.59849999999999992</v>
      </c>
    </row>
    <row r="28" spans="1:15" hidden="1" x14ac:dyDescent="0.25">
      <c r="A28" t="s">
        <v>13</v>
      </c>
      <c r="B28" t="s">
        <v>72</v>
      </c>
      <c r="C28">
        <v>0.55800000000000005</v>
      </c>
      <c r="D28">
        <v>4.7E-2</v>
      </c>
      <c r="E28">
        <v>5.3999999999999999E-2</v>
      </c>
      <c r="F28">
        <v>0.34100000000000003</v>
      </c>
      <c r="G28">
        <v>0.63000000000000012</v>
      </c>
      <c r="H28" s="4">
        <f>G28*0.95</f>
        <v>0.59850000000000003</v>
      </c>
      <c r="I28" s="4">
        <f>H28*1.05</f>
        <v>0.62842500000000001</v>
      </c>
      <c r="J28">
        <v>0.96</v>
      </c>
      <c r="K28">
        <f>J28</f>
        <v>0.96</v>
      </c>
      <c r="L28">
        <f>K28</f>
        <v>0.96</v>
      </c>
      <c r="M28">
        <v>0.65000000000000013</v>
      </c>
      <c r="N28" s="4">
        <f>M28*0.95</f>
        <v>0.61750000000000005</v>
      </c>
      <c r="O28" s="4">
        <f>N28*1.05</f>
        <v>0.64837500000000003</v>
      </c>
    </row>
    <row r="29" spans="1:15" hidden="1" x14ac:dyDescent="0.25">
      <c r="A29" t="s">
        <v>15</v>
      </c>
      <c r="B29" t="s">
        <v>72</v>
      </c>
      <c r="C29">
        <v>0</v>
      </c>
      <c r="D29">
        <v>1</v>
      </c>
      <c r="E29">
        <v>0</v>
      </c>
      <c r="F29">
        <v>0</v>
      </c>
      <c r="G29" s="4">
        <v>0.84588505065844988</v>
      </c>
      <c r="H29" s="4">
        <f>G29*0.95</f>
        <v>0.80359079812552736</v>
      </c>
      <c r="I29" s="4">
        <f>H29*1.05</f>
        <v>0.84377033803180379</v>
      </c>
      <c r="J29">
        <v>0.96</v>
      </c>
      <c r="K29">
        <f>J29</f>
        <v>0.96</v>
      </c>
      <c r="L29">
        <f>K29</f>
        <v>0.96</v>
      </c>
      <c r="M29" s="4">
        <v>0.71148214285714262</v>
      </c>
      <c r="N29" s="4">
        <f>M29*0.95</f>
        <v>0.67590803571428548</v>
      </c>
      <c r="O29" s="4">
        <f>N29*1.05</f>
        <v>0.70970343749999976</v>
      </c>
    </row>
    <row r="30" spans="1:15" hidden="1" x14ac:dyDescent="0.25">
      <c r="A30" t="s">
        <v>69</v>
      </c>
      <c r="B30" t="s">
        <v>72</v>
      </c>
      <c r="C30" s="3">
        <v>0.56188888888888899</v>
      </c>
      <c r="D30" s="4">
        <v>5.3001754385964918E-2</v>
      </c>
      <c r="E30" s="4">
        <v>7.6272807017543895E-2</v>
      </c>
      <c r="F30" s="4">
        <f>1-SUM(C30:E30)</f>
        <v>0.30883654970760221</v>
      </c>
      <c r="G30" s="3">
        <v>0.81159790994043479</v>
      </c>
      <c r="H30" s="3">
        <v>0.70014233740626763</v>
      </c>
      <c r="I30" s="3">
        <v>0.93324792899801945</v>
      </c>
      <c r="J30">
        <v>0.96</v>
      </c>
      <c r="K30">
        <f>J30</f>
        <v>0.96</v>
      </c>
      <c r="L30">
        <f>K30</f>
        <v>0.96</v>
      </c>
      <c r="M30">
        <v>0.68700000000000006</v>
      </c>
      <c r="N30" s="4">
        <f>M30*0.95</f>
        <v>0.65265000000000006</v>
      </c>
      <c r="O30" s="4">
        <f>N30*1.05</f>
        <v>0.68528250000000013</v>
      </c>
    </row>
    <row r="31" spans="1:15" hidden="1" x14ac:dyDescent="0.25">
      <c r="A31" t="s">
        <v>18</v>
      </c>
      <c r="B31" t="s">
        <v>72</v>
      </c>
      <c r="C31" s="3">
        <v>0.62166666666666659</v>
      </c>
      <c r="D31" s="4">
        <v>5.3001754385964918E-2</v>
      </c>
      <c r="E31" s="4">
        <v>7.6272807017543895E-2</v>
      </c>
      <c r="F31" s="4">
        <f>1-SUM(C31:E31)</f>
        <v>0.24905877192982462</v>
      </c>
      <c r="G31" s="3">
        <v>0.78638081783306735</v>
      </c>
      <c r="H31" s="3">
        <v>0.7121352290987818</v>
      </c>
      <c r="I31" s="3">
        <v>0.84199992299760551</v>
      </c>
      <c r="J31">
        <v>0.96</v>
      </c>
      <c r="K31">
        <f>J31</f>
        <v>0.96</v>
      </c>
      <c r="L31">
        <f>K31</f>
        <v>0.96</v>
      </c>
      <c r="M31">
        <v>0.68900000000000006</v>
      </c>
      <c r="N31" s="4">
        <f>M31*0.95</f>
        <v>0.65455000000000008</v>
      </c>
      <c r="O31" s="4">
        <f>N31*1.05</f>
        <v>0.6872775000000001</v>
      </c>
    </row>
    <row r="32" spans="1:15" hidden="1" x14ac:dyDescent="0.25">
      <c r="A32" t="s">
        <v>19</v>
      </c>
      <c r="B32" t="s">
        <v>72</v>
      </c>
      <c r="C32">
        <v>0.23</v>
      </c>
      <c r="D32">
        <v>0.01</v>
      </c>
      <c r="E32">
        <v>0.31</v>
      </c>
      <c r="F32">
        <v>0.45</v>
      </c>
      <c r="G32">
        <v>0.8</v>
      </c>
      <c r="H32" s="4">
        <f>G32*0.95</f>
        <v>0.76</v>
      </c>
      <c r="I32" s="4">
        <f>H32*1.05</f>
        <v>0.79800000000000004</v>
      </c>
      <c r="J32">
        <v>0.96</v>
      </c>
      <c r="K32">
        <f>J32</f>
        <v>0.96</v>
      </c>
      <c r="L32">
        <f>K32</f>
        <v>0.96</v>
      </c>
      <c r="M32">
        <v>0.57999999999999996</v>
      </c>
      <c r="N32" s="4">
        <f>M32*0.95</f>
        <v>0.55099999999999993</v>
      </c>
      <c r="O32" s="4">
        <f>N32*1.05</f>
        <v>0.57855000000000001</v>
      </c>
    </row>
    <row r="33" spans="1:15" hidden="1" x14ac:dyDescent="0.25">
      <c r="A33" t="s">
        <v>22</v>
      </c>
      <c r="B33" t="s">
        <v>72</v>
      </c>
      <c r="C33">
        <v>0</v>
      </c>
      <c r="D33">
        <v>1</v>
      </c>
      <c r="E33">
        <v>0</v>
      </c>
      <c r="F33">
        <v>0</v>
      </c>
      <c r="G33" s="4">
        <v>0.84588505065844988</v>
      </c>
      <c r="H33" s="4">
        <f>G33*0.95</f>
        <v>0.80359079812552736</v>
      </c>
      <c r="I33" s="4">
        <f>H33*1.05</f>
        <v>0.84377033803180379</v>
      </c>
      <c r="J33">
        <v>0.96</v>
      </c>
      <c r="K33">
        <f>J33</f>
        <v>0.96</v>
      </c>
      <c r="L33">
        <f>K33</f>
        <v>0.96</v>
      </c>
      <c r="M33" s="4">
        <v>0.71148214285714262</v>
      </c>
      <c r="N33" s="4">
        <f>M33*0.95</f>
        <v>0.67590803571428548</v>
      </c>
      <c r="O33" s="4">
        <f>N33*1.05</f>
        <v>0.70970343749999976</v>
      </c>
    </row>
    <row r="34" spans="1:15" hidden="1" x14ac:dyDescent="0.25">
      <c r="A34" t="s">
        <v>23</v>
      </c>
      <c r="B34" t="s">
        <v>72</v>
      </c>
      <c r="C34" s="3">
        <v>0.75900000000000001</v>
      </c>
      <c r="D34" s="4">
        <v>5.3001754385964918E-2</v>
      </c>
      <c r="E34" s="4">
        <v>7.6272807017543895E-2</v>
      </c>
      <c r="F34" s="4">
        <f>1-SUM(C34:E34)</f>
        <v>0.1117254385964912</v>
      </c>
      <c r="G34" s="3">
        <v>0.94144621422710895</v>
      </c>
      <c r="H34" s="3">
        <v>0.92915488186404305</v>
      </c>
      <c r="I34" s="3">
        <v>0.95038279881441345</v>
      </c>
      <c r="J34">
        <v>0.96</v>
      </c>
      <c r="K34">
        <f>J34</f>
        <v>0.96</v>
      </c>
      <c r="L34">
        <f>K34</f>
        <v>0.96</v>
      </c>
      <c r="M34">
        <v>0.68000000000000016</v>
      </c>
      <c r="N34" s="4">
        <f>M34*0.95</f>
        <v>0.64600000000000013</v>
      </c>
      <c r="O34" s="4">
        <f>N34*1.05</f>
        <v>0.67830000000000013</v>
      </c>
    </row>
    <row r="35" spans="1:15" hidden="1" x14ac:dyDescent="0.25">
      <c r="A35" t="s">
        <v>24</v>
      </c>
      <c r="B35" t="s">
        <v>72</v>
      </c>
      <c r="C35" s="3">
        <v>0.65300000000000002</v>
      </c>
      <c r="D35">
        <v>0.02</v>
      </c>
      <c r="E35">
        <v>7.0000000000000007E-2</v>
      </c>
      <c r="F35">
        <v>0.39</v>
      </c>
      <c r="G35" s="3">
        <v>0.8937733673883973</v>
      </c>
      <c r="H35" s="3">
        <v>0.88807945048616632</v>
      </c>
      <c r="I35" s="3">
        <v>0.89967859362798408</v>
      </c>
      <c r="J35">
        <v>0.96</v>
      </c>
      <c r="K35">
        <f>J35</f>
        <v>0.96</v>
      </c>
      <c r="L35">
        <f>K35</f>
        <v>0.96</v>
      </c>
      <c r="M35">
        <v>0.82</v>
      </c>
      <c r="N35" s="4">
        <f>M35*0.95</f>
        <v>0.77899999999999991</v>
      </c>
      <c r="O35" s="4">
        <f>N35*1.05</f>
        <v>0.81794999999999995</v>
      </c>
    </row>
    <row r="36" spans="1:15" hidden="1" x14ac:dyDescent="0.25">
      <c r="A36" t="s">
        <v>25</v>
      </c>
      <c r="B36" t="s">
        <v>72</v>
      </c>
      <c r="C36">
        <v>0</v>
      </c>
      <c r="D36">
        <v>1</v>
      </c>
      <c r="E36">
        <v>0</v>
      </c>
      <c r="F36">
        <v>0</v>
      </c>
      <c r="G36" s="4">
        <v>0.84588505065844988</v>
      </c>
      <c r="H36" s="4">
        <f>G36*0.95</f>
        <v>0.80359079812552736</v>
      </c>
      <c r="I36" s="4">
        <f>H36*1.05</f>
        <v>0.84377033803180379</v>
      </c>
      <c r="J36">
        <v>0.96</v>
      </c>
      <c r="K36">
        <f>J36</f>
        <v>0.96</v>
      </c>
      <c r="L36">
        <f>K36</f>
        <v>0.96</v>
      </c>
      <c r="M36" s="4">
        <v>0.71148214285714262</v>
      </c>
      <c r="N36" s="4">
        <f>M36*0.95</f>
        <v>0.67590803571428548</v>
      </c>
      <c r="O36" s="4">
        <f>N36*1.05</f>
        <v>0.70970343749999976</v>
      </c>
    </row>
    <row r="37" spans="1:15" hidden="1" x14ac:dyDescent="0.25">
      <c r="A37" t="s">
        <v>27</v>
      </c>
      <c r="B37" t="s">
        <v>72</v>
      </c>
      <c r="C37">
        <v>0.63800000000000001</v>
      </c>
      <c r="D37">
        <v>6.0999999999999999E-2</v>
      </c>
      <c r="E37">
        <v>8.8999999999999996E-2</v>
      </c>
      <c r="F37">
        <f>1-SUM(C37:E37)</f>
        <v>0.21199999999999997</v>
      </c>
      <c r="G37">
        <v>0.81</v>
      </c>
      <c r="H37" s="4">
        <f>G37*0.95</f>
        <v>0.76949999999999996</v>
      </c>
      <c r="I37" s="4">
        <f>H37*1.05</f>
        <v>0.807975</v>
      </c>
      <c r="J37">
        <v>0.96</v>
      </c>
      <c r="K37">
        <f>J37</f>
        <v>0.96</v>
      </c>
      <c r="L37">
        <f>K37</f>
        <v>0.96</v>
      </c>
      <c r="M37">
        <v>0.72</v>
      </c>
      <c r="N37" s="4">
        <f>M37*0.95</f>
        <v>0.68399999999999994</v>
      </c>
      <c r="O37" s="4">
        <f>N37*1.05</f>
        <v>0.71819999999999995</v>
      </c>
    </row>
    <row r="38" spans="1:15" hidden="1" x14ac:dyDescent="0.25">
      <c r="A38" t="s">
        <v>28</v>
      </c>
      <c r="B38" t="s">
        <v>72</v>
      </c>
      <c r="C38">
        <v>0.32400000000000001</v>
      </c>
      <c r="D38">
        <v>2.1999999999999999E-2</v>
      </c>
      <c r="E38">
        <v>7.0999999999999994E-2</v>
      </c>
      <c r="F38">
        <v>0.58299999999999996</v>
      </c>
      <c r="G38">
        <v>0.87</v>
      </c>
      <c r="H38" s="4">
        <f>G38*0.95</f>
        <v>0.82650000000000001</v>
      </c>
      <c r="I38" s="4">
        <f>H38*1.05</f>
        <v>0.86782500000000007</v>
      </c>
      <c r="J38">
        <v>0.96</v>
      </c>
      <c r="K38">
        <f>J38</f>
        <v>0.96</v>
      </c>
      <c r="L38">
        <f>K38</f>
        <v>0.96</v>
      </c>
      <c r="M38">
        <v>0.61</v>
      </c>
      <c r="N38" s="4">
        <f>M38*0.95</f>
        <v>0.57950000000000002</v>
      </c>
      <c r="O38" s="4">
        <f>N38*1.05</f>
        <v>0.60847499999999999</v>
      </c>
    </row>
    <row r="39" spans="1:15" hidden="1" x14ac:dyDescent="0.25">
      <c r="A39" t="s">
        <v>29</v>
      </c>
      <c r="B39" t="s">
        <v>72</v>
      </c>
      <c r="C39">
        <v>0.377</v>
      </c>
      <c r="D39">
        <v>1.7999999999999999E-2</v>
      </c>
      <c r="E39">
        <v>7.6999999999999999E-2</v>
      </c>
      <c r="F39">
        <v>0.52800000000000002</v>
      </c>
      <c r="G39">
        <v>0.87</v>
      </c>
      <c r="H39" s="4">
        <f>G39*0.95</f>
        <v>0.82650000000000001</v>
      </c>
      <c r="I39" s="4">
        <f>H39*1.05</f>
        <v>0.86782500000000007</v>
      </c>
      <c r="J39">
        <v>0.96</v>
      </c>
      <c r="K39">
        <f>J39</f>
        <v>0.96</v>
      </c>
      <c r="L39">
        <f>K39</f>
        <v>0.96</v>
      </c>
      <c r="M39">
        <v>0.61</v>
      </c>
      <c r="N39" s="4">
        <f>M39*0.95</f>
        <v>0.57950000000000002</v>
      </c>
      <c r="O39" s="4">
        <f>N39*1.05</f>
        <v>0.60847499999999999</v>
      </c>
    </row>
    <row r="40" spans="1:15" hidden="1" x14ac:dyDescent="0.25">
      <c r="A40" t="s">
        <v>30</v>
      </c>
      <c r="B40" t="s">
        <v>72</v>
      </c>
      <c r="C40">
        <v>2.9000000000000001E-2</v>
      </c>
      <c r="D40">
        <v>7.0000000000000001E-3</v>
      </c>
      <c r="E40">
        <v>3.9E-2</v>
      </c>
      <c r="F40">
        <v>0.92500000000000004</v>
      </c>
      <c r="G40">
        <v>0.84000000000000008</v>
      </c>
      <c r="H40" s="4">
        <f>G40*0.95</f>
        <v>0.79800000000000004</v>
      </c>
      <c r="I40" s="4">
        <f>H40*1.05</f>
        <v>0.83790000000000009</v>
      </c>
      <c r="J40">
        <v>0.96</v>
      </c>
      <c r="K40">
        <f>J40</f>
        <v>0.96</v>
      </c>
      <c r="L40">
        <f>K40</f>
        <v>0.96</v>
      </c>
      <c r="M40">
        <v>0.7</v>
      </c>
      <c r="N40" s="4">
        <f>M40*0.95</f>
        <v>0.66499999999999992</v>
      </c>
      <c r="O40" s="4">
        <f>N40*1.05</f>
        <v>0.69824999999999993</v>
      </c>
    </row>
    <row r="41" spans="1:15" hidden="1" x14ac:dyDescent="0.25">
      <c r="A41" t="s">
        <v>33</v>
      </c>
      <c r="B41" t="s">
        <v>72</v>
      </c>
      <c r="C41">
        <v>0.48</v>
      </c>
      <c r="D41">
        <v>0.04</v>
      </c>
      <c r="E41">
        <v>7.0000000000000007E-2</v>
      </c>
      <c r="F41">
        <v>0.41</v>
      </c>
      <c r="G41">
        <v>0.82000000000000006</v>
      </c>
      <c r="H41" s="4">
        <f>G41*0.95</f>
        <v>0.77900000000000003</v>
      </c>
      <c r="I41" s="4">
        <f>H41*1.05</f>
        <v>0.81795000000000007</v>
      </c>
      <c r="J41">
        <v>0.96</v>
      </c>
      <c r="K41">
        <f>J41</f>
        <v>0.96</v>
      </c>
      <c r="L41">
        <f>K41</f>
        <v>0.96</v>
      </c>
      <c r="M41">
        <v>0.7</v>
      </c>
      <c r="N41" s="4">
        <f>M41*0.95</f>
        <v>0.66499999999999992</v>
      </c>
      <c r="O41" s="4">
        <f>N41*1.05</f>
        <v>0.69824999999999993</v>
      </c>
    </row>
    <row r="48" spans="1:15" x14ac:dyDescent="0.25">
      <c r="H48" s="6"/>
      <c r="I48" s="6"/>
    </row>
    <row r="49" spans="8:9" x14ac:dyDescent="0.25">
      <c r="H49" s="6"/>
      <c r="I49" s="6"/>
    </row>
    <row r="50" spans="8:9" x14ac:dyDescent="0.25">
      <c r="H50" s="6"/>
      <c r="I50" s="6"/>
    </row>
    <row r="51" spans="8:9" x14ac:dyDescent="0.25">
      <c r="H51" s="6"/>
      <c r="I51" s="6"/>
    </row>
    <row r="52" spans="8:9" x14ac:dyDescent="0.25">
      <c r="H52" s="6"/>
      <c r="I52" s="6"/>
    </row>
    <row r="53" spans="8:9" x14ac:dyDescent="0.25">
      <c r="H53" s="6"/>
      <c r="I53" s="6"/>
    </row>
    <row r="54" spans="8:9" x14ac:dyDescent="0.25">
      <c r="H54" s="6"/>
      <c r="I54" s="6"/>
    </row>
    <row r="55" spans="8:9" x14ac:dyDescent="0.25">
      <c r="H55" s="6"/>
      <c r="I55" s="6"/>
    </row>
    <row r="56" spans="8:9" x14ac:dyDescent="0.25">
      <c r="H56" s="6"/>
      <c r="I56" s="6"/>
    </row>
    <row r="57" spans="8:9" x14ac:dyDescent="0.25">
      <c r="H57" s="6"/>
      <c r="I57" s="6"/>
    </row>
    <row r="58" spans="8:9" x14ac:dyDescent="0.25">
      <c r="H58" s="6"/>
      <c r="I58" s="6"/>
    </row>
    <row r="59" spans="8:9" x14ac:dyDescent="0.25">
      <c r="H59" s="6"/>
      <c r="I59" s="6"/>
    </row>
    <row r="60" spans="8:9" x14ac:dyDescent="0.25">
      <c r="H60" s="6"/>
      <c r="I60" s="6"/>
    </row>
    <row r="61" spans="8:9" x14ac:dyDescent="0.25">
      <c r="H61" s="6"/>
      <c r="I61" s="6"/>
    </row>
    <row r="62" spans="8:9" x14ac:dyDescent="0.25">
      <c r="H62" s="6"/>
      <c r="I62" s="6"/>
    </row>
    <row r="63" spans="8:9" x14ac:dyDescent="0.25">
      <c r="H63" s="6"/>
      <c r="I63" s="6"/>
    </row>
    <row r="64" spans="8:9" x14ac:dyDescent="0.25">
      <c r="H64" s="6"/>
      <c r="I64" s="6"/>
    </row>
    <row r="65" spans="8:9" x14ac:dyDescent="0.25">
      <c r="H65" s="6"/>
      <c r="I65" s="6"/>
    </row>
    <row r="66" spans="8:9" x14ac:dyDescent="0.25">
      <c r="H66" s="6"/>
      <c r="I66" s="6"/>
    </row>
  </sheetData>
  <autoFilter ref="A1:O41" xr:uid="{FEB86C80-6855-4296-9746-1E92B0D65FFA}">
    <filterColumn colId="1">
      <filters>
        <filter val="T"/>
      </filters>
    </filterColumn>
    <sortState xmlns:xlrd2="http://schemas.microsoft.com/office/spreadsheetml/2017/richdata2" ref="A2:O22">
      <sortCondition ref="C1:C4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7DA89-E85F-4597-B94B-473613FC79D7}">
  <dimension ref="A1:C42"/>
  <sheetViews>
    <sheetView zoomScale="85" zoomScaleNormal="85" workbookViewId="0">
      <selection activeCell="B40" sqref="B40"/>
    </sheetView>
  </sheetViews>
  <sheetFormatPr defaultRowHeight="15" x14ac:dyDescent="0.25"/>
  <cols>
    <col min="1" max="1" width="25.28515625" bestFit="1" customWidth="1"/>
    <col min="2" max="2" width="69.42578125" bestFit="1" customWidth="1"/>
  </cols>
  <sheetData>
    <row r="1" spans="1:2" x14ac:dyDescent="0.25">
      <c r="A1" t="s">
        <v>0</v>
      </c>
    </row>
    <row r="2" spans="1:2" x14ac:dyDescent="0.25">
      <c r="A2" t="s">
        <v>47</v>
      </c>
      <c r="B2" t="s">
        <v>60</v>
      </c>
    </row>
    <row r="3" spans="1:2" x14ac:dyDescent="0.25">
      <c r="A3" t="s">
        <v>48</v>
      </c>
    </row>
    <row r="4" spans="1:2" x14ac:dyDescent="0.25">
      <c r="A4" t="s">
        <v>1</v>
      </c>
    </row>
    <row r="5" spans="1:2" x14ac:dyDescent="0.25">
      <c r="A5" t="s">
        <v>2</v>
      </c>
      <c r="B5" t="s">
        <v>60</v>
      </c>
    </row>
    <row r="6" spans="1:2" x14ac:dyDescent="0.25">
      <c r="A6" t="s">
        <v>3</v>
      </c>
      <c r="B6" t="s">
        <v>60</v>
      </c>
    </row>
    <row r="7" spans="1:2" x14ac:dyDescent="0.25">
      <c r="A7" t="s">
        <v>4</v>
      </c>
    </row>
    <row r="8" spans="1:2" x14ac:dyDescent="0.25">
      <c r="A8" t="s">
        <v>5</v>
      </c>
    </row>
    <row r="9" spans="1:2" x14ac:dyDescent="0.25">
      <c r="A9" t="s">
        <v>6</v>
      </c>
    </row>
    <row r="10" spans="1:2" x14ac:dyDescent="0.25">
      <c r="A10" t="s">
        <v>7</v>
      </c>
      <c r="B10" t="s">
        <v>73</v>
      </c>
    </row>
    <row r="11" spans="1:2" x14ac:dyDescent="0.25">
      <c r="A11" t="s">
        <v>8</v>
      </c>
      <c r="B11" s="1" t="s">
        <v>63</v>
      </c>
    </row>
    <row r="12" spans="1:2" x14ac:dyDescent="0.25">
      <c r="A12" t="s">
        <v>9</v>
      </c>
      <c r="B12" s="1" t="s">
        <v>64</v>
      </c>
    </row>
    <row r="13" spans="1:2" x14ac:dyDescent="0.25">
      <c r="A13" t="s">
        <v>10</v>
      </c>
      <c r="B13" t="s">
        <v>60</v>
      </c>
    </row>
    <row r="14" spans="1:2" x14ac:dyDescent="0.25">
      <c r="A14" t="s">
        <v>11</v>
      </c>
      <c r="B14" t="s">
        <v>60</v>
      </c>
    </row>
    <row r="15" spans="1:2" x14ac:dyDescent="0.25">
      <c r="A15" t="s">
        <v>12</v>
      </c>
    </row>
    <row r="16" spans="1:2" x14ac:dyDescent="0.25">
      <c r="A16" t="s">
        <v>13</v>
      </c>
    </row>
    <row r="17" spans="1:2" x14ac:dyDescent="0.25">
      <c r="A17" t="s">
        <v>49</v>
      </c>
      <c r="B17" s="1" t="s">
        <v>59</v>
      </c>
    </row>
    <row r="18" spans="1:2" x14ac:dyDescent="0.25">
      <c r="A18" t="s">
        <v>14</v>
      </c>
      <c r="B18" t="s">
        <v>62</v>
      </c>
    </row>
    <row r="19" spans="1:2" x14ac:dyDescent="0.25">
      <c r="A19" t="s">
        <v>15</v>
      </c>
    </row>
    <row r="20" spans="1:2" x14ac:dyDescent="0.25">
      <c r="A20" t="s">
        <v>50</v>
      </c>
      <c r="B20" t="s">
        <v>61</v>
      </c>
    </row>
    <row r="21" spans="1:2" x14ac:dyDescent="0.25">
      <c r="A21" t="s">
        <v>16</v>
      </c>
    </row>
    <row r="22" spans="1:2" x14ac:dyDescent="0.25">
      <c r="A22" t="s">
        <v>17</v>
      </c>
    </row>
    <row r="23" spans="1:2" x14ac:dyDescent="0.25">
      <c r="A23" t="s">
        <v>18</v>
      </c>
    </row>
    <row r="24" spans="1:2" x14ac:dyDescent="0.25">
      <c r="A24" t="s">
        <v>19</v>
      </c>
    </row>
    <row r="25" spans="1:2" x14ac:dyDescent="0.25">
      <c r="A25" t="s">
        <v>20</v>
      </c>
    </row>
    <row r="26" spans="1:2" x14ac:dyDescent="0.25">
      <c r="A26" t="s">
        <v>21</v>
      </c>
    </row>
    <row r="27" spans="1:2" x14ac:dyDescent="0.25">
      <c r="A27" t="s">
        <v>51</v>
      </c>
      <c r="B27" t="s">
        <v>60</v>
      </c>
    </row>
    <row r="28" spans="1:2" x14ac:dyDescent="0.25">
      <c r="A28" t="s">
        <v>52</v>
      </c>
    </row>
    <row r="29" spans="1:2" x14ac:dyDescent="0.25">
      <c r="A29" t="s">
        <v>22</v>
      </c>
    </row>
    <row r="30" spans="1:2" x14ac:dyDescent="0.25">
      <c r="A30" t="s">
        <v>23</v>
      </c>
    </row>
    <row r="31" spans="1:2" x14ac:dyDescent="0.25">
      <c r="A31" t="s">
        <v>24</v>
      </c>
    </row>
    <row r="32" spans="1:2" x14ac:dyDescent="0.25">
      <c r="A32" t="s">
        <v>25</v>
      </c>
    </row>
    <row r="33" spans="1:3" x14ac:dyDescent="0.25">
      <c r="A33" t="s">
        <v>26</v>
      </c>
      <c r="B33" s="1" t="s">
        <v>58</v>
      </c>
    </row>
    <row r="34" spans="1:3" x14ac:dyDescent="0.25">
      <c r="A34" t="s">
        <v>27</v>
      </c>
      <c r="B34" s="1" t="s">
        <v>56</v>
      </c>
      <c r="C34" t="s">
        <v>57</v>
      </c>
    </row>
    <row r="35" spans="1:3" x14ac:dyDescent="0.25">
      <c r="A35" t="s">
        <v>28</v>
      </c>
      <c r="B35" s="1" t="s">
        <v>55</v>
      </c>
    </row>
    <row r="36" spans="1:3" x14ac:dyDescent="0.25">
      <c r="A36" t="s">
        <v>29</v>
      </c>
      <c r="B36" s="1" t="s">
        <v>54</v>
      </c>
    </row>
    <row r="37" spans="1:3" x14ac:dyDescent="0.25">
      <c r="A37" t="s">
        <v>30</v>
      </c>
      <c r="B37" s="1" t="s">
        <v>53</v>
      </c>
    </row>
    <row r="38" spans="1:3" x14ac:dyDescent="0.25">
      <c r="A38" t="s">
        <v>31</v>
      </c>
    </row>
    <row r="39" spans="1:3" x14ac:dyDescent="0.25">
      <c r="A39" t="s">
        <v>32</v>
      </c>
      <c r="B39" t="s">
        <v>74</v>
      </c>
    </row>
    <row r="40" spans="1:3" x14ac:dyDescent="0.25">
      <c r="A40" t="s">
        <v>33</v>
      </c>
    </row>
    <row r="41" spans="1:3" x14ac:dyDescent="0.25">
      <c r="A41" s="3" t="s">
        <v>65</v>
      </c>
      <c r="B41" s="3" t="s">
        <v>66</v>
      </c>
    </row>
    <row r="42" spans="1:3" x14ac:dyDescent="0.25">
      <c r="A42" s="4" t="s">
        <v>67</v>
      </c>
      <c r="B42" s="4" t="s">
        <v>68</v>
      </c>
    </row>
  </sheetData>
  <autoFilter ref="A1:C40" xr:uid="{BA17DA89-E85F-4597-B94B-473613FC79D7}">
    <sortState xmlns:xlrd2="http://schemas.microsoft.com/office/spreadsheetml/2017/richdata2" ref="A2:C40">
      <sortCondition ref="A1:A40"/>
    </sortState>
  </autoFilter>
  <hyperlinks>
    <hyperlink ref="B37" r:id="rId1" display="https://www.feedipedia.org/node/527" xr:uid="{9D796F16-2A55-41F2-B066-40FB62D78DA3}"/>
    <hyperlink ref="B36" r:id="rId2" display="https://www.feedipedia.org/node/12806" xr:uid="{0D3F6475-3F7E-4230-BF5D-1B1A9D67D318}"/>
    <hyperlink ref="B35" r:id="rId3" display="https://www.feedipedia.org/node/12663" xr:uid="{850085C4-4E6D-4C43-806A-BA1985D7CE16}"/>
    <hyperlink ref="B34" r:id="rId4" display="https://www.feedipedia.org/node/67" xr:uid="{679D6967-9E8A-4CC2-9A7F-D066F495C0D1}"/>
    <hyperlink ref="B33" r:id="rId5" display="https://www.feedipedia.org/node/11683" xr:uid="{D8DFDFB1-7112-4CB0-892D-35C58DF37EC7}"/>
    <hyperlink ref="B17" r:id="rId6" display="https://www.feedipedia.org/node/11574" xr:uid="{9C3D8932-B7C3-4F23-B5AF-0CCF9B1CF004}"/>
    <hyperlink ref="B11" r:id="rId7" xr:uid="{731F2494-EBD0-4189-90DD-144FE15605E0}"/>
    <hyperlink ref="B12" r:id="rId8" display="https://www.feedipedia.org/node/11687" xr:uid="{0ABC761E-265E-4D42-A75F-0D6FCBFE9A8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all_ingredients</vt:lpstr>
      <vt:lpstr>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Tormey Reimer</cp:lastModifiedBy>
  <dcterms:created xsi:type="dcterms:W3CDTF">2025-09-08T01:05:26Z</dcterms:created>
  <dcterms:modified xsi:type="dcterms:W3CDTF">2025-12-15T23:45:59Z</dcterms:modified>
</cp:coreProperties>
</file>