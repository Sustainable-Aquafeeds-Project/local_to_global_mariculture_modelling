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8C101E4C-72B9-4071-857E-D349E2443E56}" xr6:coauthVersionLast="47" xr6:coauthVersionMax="47" xr10:uidLastSave="{00000000-0000-0000-0000-000000000000}"/>
  <bookViews>
    <workbookView xWindow="14430" yWindow="-16200" windowWidth="14610" windowHeight="15585" xr2:uid="{EACE1C46-B374-4940-8FA1-58EDCA6D9B2B}"/>
  </bookViews>
  <sheets>
    <sheet name="all_ingredients" sheetId="2" r:id="rId1"/>
    <sheet name="sources" sheetId="3" r:id="rId2"/>
  </sheets>
  <definedNames>
    <definedName name="_xlnm._FilterDatabase" localSheetId="0" hidden="1">all_ingredients!$A$1:$N$40</definedName>
    <definedName name="_xlnm._FilterDatabase" localSheetId="1" hidden="1">sources!$A$1:$C$40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M23" i="2"/>
  <c r="N23" i="2" s="1"/>
  <c r="M4" i="2"/>
  <c r="N4" i="2"/>
  <c r="M21" i="2"/>
  <c r="N21" i="2"/>
  <c r="M26" i="2"/>
  <c r="N26" i="2"/>
  <c r="M33" i="2"/>
  <c r="N33" i="2"/>
  <c r="M28" i="2"/>
  <c r="N28" i="2"/>
  <c r="M31" i="2"/>
  <c r="N31" i="2"/>
  <c r="M5" i="2"/>
  <c r="N5" i="2"/>
  <c r="M30" i="2"/>
  <c r="N30" i="2" s="1"/>
  <c r="M17" i="2"/>
  <c r="N17" i="2"/>
  <c r="M16" i="2"/>
  <c r="N16" i="2"/>
  <c r="M15" i="2"/>
  <c r="N15" i="2" s="1"/>
  <c r="M24" i="2"/>
  <c r="N24" i="2" s="1"/>
  <c r="M34" i="2"/>
  <c r="N34" i="2"/>
  <c r="M40" i="2"/>
  <c r="N40" i="2" s="1"/>
  <c r="M37" i="2"/>
  <c r="N37" i="2"/>
  <c r="M9" i="2"/>
  <c r="N9" i="2"/>
  <c r="M36" i="2"/>
  <c r="N36" i="2" s="1"/>
  <c r="M35" i="2"/>
  <c r="N35" i="2"/>
  <c r="M25" i="2"/>
  <c r="N25" i="2"/>
  <c r="M38" i="2"/>
  <c r="N38" i="2"/>
  <c r="M39" i="2"/>
  <c r="N39" i="2"/>
  <c r="M8" i="2"/>
  <c r="N8" i="2"/>
  <c r="M22" i="2"/>
  <c r="N22" i="2" s="1"/>
  <c r="M3" i="2"/>
  <c r="N3" i="2" s="1"/>
  <c r="M2" i="2"/>
  <c r="N2" i="2"/>
  <c r="M6" i="2"/>
  <c r="N6" i="2"/>
  <c r="M7" i="2"/>
  <c r="N7" i="2"/>
  <c r="M13" i="2"/>
  <c r="N13" i="2"/>
  <c r="M14" i="2"/>
  <c r="N14" i="2"/>
  <c r="M19" i="2"/>
  <c r="N19" i="2"/>
  <c r="M27" i="2"/>
  <c r="N27" i="2"/>
  <c r="M29" i="2"/>
  <c r="N29" i="2"/>
  <c r="M32" i="2"/>
  <c r="N32" i="2"/>
  <c r="M10" i="2"/>
  <c r="N10" i="2" s="1"/>
  <c r="G16" i="2"/>
  <c r="H16" i="2" s="1"/>
  <c r="G15" i="2"/>
  <c r="H15" i="2" s="1"/>
  <c r="G24" i="2"/>
  <c r="H24" i="2" s="1"/>
  <c r="G34" i="2"/>
  <c r="H34" i="2" s="1"/>
  <c r="G40" i="2"/>
  <c r="H40" i="2" s="1"/>
  <c r="G37" i="2"/>
  <c r="H37" i="2" s="1"/>
  <c r="G9" i="2"/>
  <c r="H9" i="2" s="1"/>
  <c r="G36" i="2"/>
  <c r="H36" i="2" s="1"/>
  <c r="G35" i="2"/>
  <c r="H35" i="2" s="1"/>
  <c r="G25" i="2"/>
  <c r="H25" i="2" s="1"/>
  <c r="G38" i="2"/>
  <c r="H38" i="2" s="1"/>
  <c r="G39" i="2"/>
  <c r="H39" i="2" s="1"/>
  <c r="G8" i="2"/>
  <c r="H8" i="2" s="1"/>
  <c r="G22" i="2"/>
  <c r="H22" i="2" s="1"/>
  <c r="G3" i="2"/>
  <c r="H3" i="2" s="1"/>
  <c r="G2" i="2"/>
  <c r="H2" i="2" s="1"/>
  <c r="G6" i="2"/>
  <c r="H6" i="2" s="1"/>
  <c r="G7" i="2"/>
  <c r="H7" i="2" s="1"/>
  <c r="G13" i="2"/>
  <c r="H13" i="2" s="1"/>
  <c r="G14" i="2"/>
  <c r="H14" i="2" s="1"/>
  <c r="G19" i="2"/>
  <c r="H19" i="2" s="1"/>
  <c r="G27" i="2"/>
  <c r="H27" i="2" s="1"/>
  <c r="G29" i="2"/>
  <c r="H29" i="2" s="1"/>
  <c r="G32" i="2"/>
  <c r="H32" i="2" s="1"/>
  <c r="G17" i="2"/>
  <c r="H17" i="2" s="1"/>
  <c r="E5" i="2"/>
  <c r="E18" i="2"/>
  <c r="E21" i="2"/>
  <c r="E23" i="2"/>
  <c r="E33" i="2"/>
  <c r="E26" i="2"/>
  <c r="E30" i="2"/>
  <c r="E28" i="2"/>
  <c r="E10" i="2"/>
  <c r="E3" i="2"/>
  <c r="N12" i="2"/>
  <c r="M12" i="2"/>
  <c r="L12" i="2"/>
  <c r="H12" i="2"/>
  <c r="G12" i="2"/>
  <c r="F12" i="2"/>
  <c r="D12" i="2"/>
  <c r="C12" i="2"/>
  <c r="E12" i="2"/>
  <c r="B12" i="2"/>
  <c r="N11" i="2"/>
  <c r="M11" i="2"/>
  <c r="L11" i="2"/>
  <c r="H11" i="2"/>
  <c r="G11" i="2"/>
  <c r="F11" i="2"/>
  <c r="D11" i="2"/>
  <c r="C11" i="2"/>
  <c r="B11" i="2"/>
  <c r="E11" i="2" s="1"/>
  <c r="N18" i="2"/>
  <c r="M18" i="2"/>
  <c r="J6" i="2"/>
  <c r="K6" i="2" s="1"/>
  <c r="J10" i="2"/>
  <c r="K10" i="2" s="1"/>
  <c r="J11" i="2"/>
  <c r="K11" i="2"/>
  <c r="J12" i="2"/>
  <c r="K12" i="2" s="1"/>
  <c r="J13" i="2"/>
  <c r="K13" i="2" s="1"/>
  <c r="J14" i="2"/>
  <c r="K14" i="2" s="1"/>
  <c r="J18" i="2"/>
  <c r="K18" i="2" s="1"/>
  <c r="J22" i="2"/>
  <c r="K22" i="2" s="1"/>
  <c r="J26" i="2"/>
  <c r="K26" i="2" s="1"/>
  <c r="J38" i="2"/>
  <c r="K38" i="2" s="1"/>
  <c r="J2" i="2"/>
  <c r="K2" i="2" s="1"/>
  <c r="J17" i="2"/>
  <c r="K17" i="2" s="1"/>
  <c r="J21" i="2"/>
  <c r="K21" i="2" s="1"/>
  <c r="J27" i="2"/>
  <c r="K27" i="2"/>
  <c r="J28" i="2"/>
  <c r="K28" i="2" s="1"/>
  <c r="J15" i="2"/>
  <c r="K15" i="2"/>
  <c r="J20" i="2"/>
  <c r="K20" i="2" s="1"/>
  <c r="J25" i="2"/>
  <c r="K25" i="2"/>
  <c r="J33" i="2"/>
  <c r="K33" i="2"/>
  <c r="J39" i="2"/>
  <c r="K39" i="2" s="1"/>
  <c r="J4" i="2"/>
  <c r="K4" i="2" s="1"/>
  <c r="J5" i="2"/>
  <c r="K5" i="2" s="1"/>
  <c r="J7" i="2"/>
  <c r="K7" i="2" s="1"/>
  <c r="J8" i="2"/>
  <c r="K8" i="2" s="1"/>
  <c r="J9" i="2"/>
  <c r="K9" i="2" s="1"/>
  <c r="J16" i="2"/>
  <c r="K16" i="2" s="1"/>
  <c r="J19" i="2"/>
  <c r="K19" i="2" s="1"/>
  <c r="J23" i="2"/>
  <c r="K23" i="2" s="1"/>
  <c r="J24" i="2"/>
  <c r="K24" i="2" s="1"/>
  <c r="J29" i="2"/>
  <c r="K29" i="2"/>
  <c r="J30" i="2"/>
  <c r="K30" i="2"/>
  <c r="J31" i="2"/>
  <c r="K31" i="2"/>
  <c r="J32" i="2"/>
  <c r="K32" i="2"/>
  <c r="J34" i="2"/>
  <c r="K34" i="2" s="1"/>
  <c r="J35" i="2"/>
  <c r="K35" i="2" s="1"/>
  <c r="J36" i="2"/>
  <c r="K36" i="2" s="1"/>
  <c r="J37" i="2"/>
  <c r="K37" i="2" s="1"/>
  <c r="J40" i="2"/>
  <c r="K40" i="2" s="1"/>
  <c r="J3" i="2"/>
  <c r="K3" i="2" s="1"/>
  <c r="N20" i="2"/>
  <c r="M20" i="2"/>
  <c r="L20" i="2"/>
  <c r="G20" i="2"/>
  <c r="H20" i="2"/>
  <c r="F20" i="2"/>
  <c r="D20" i="2"/>
  <c r="C20" i="2"/>
  <c r="B20" i="2"/>
  <c r="E34" i="2"/>
  <c r="E20" i="2" l="1"/>
</calcChain>
</file>

<file path=xl/sharedStrings.xml><?xml version="1.0" encoding="utf-8"?>
<sst xmlns="http://schemas.openxmlformats.org/spreadsheetml/2006/main" count="114" uniqueCount="69">
  <si>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</si>
  <si>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</si>
  <si>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</si>
  <si>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</si>
  <si>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</si>
  <si>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</si>
  <si>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</si>
  <si>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</si>
  <si>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</si>
  <si>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</si>
  <si>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</si>
  <si>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</si>
  <si>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</si>
  <si>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</si>
  <si>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</si>
  <si>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</si>
  <si>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</si>
  <si>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</si>
  <si>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</si>
  <si>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</si>
  <si>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</si>
  <si>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</si>
  <si>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</si>
  <si>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</si>
  <si>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</si>
  <si>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</si>
  <si>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</si>
  <si>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</si>
  <si>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</si>
  <si>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</si>
  <si>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</si>
  <si>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</si>
  <si>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</si>
  <si>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</si>
  <si>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</si>
  <si>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</si>
  <si>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</si>
  <si>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</si>
  <si>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</si>
  <si>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</si>
  <si>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</si>
  <si>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</si>
  <si>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</si>
  <si>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</si>
  <si>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</si>
  <si>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</si>
  <si>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</si>
  <si>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</si>
  <si>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</si>
  <si>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</si>
  <si>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</si>
  <si>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</si>
  <si>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</si>
  <si>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</si>
  <si>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</si>
  <si>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</si>
  <si>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</si>
  <si>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</si>
  <si>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</si>
  <si>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</si>
  <si>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</si>
  <si>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</si>
  <si>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</si>
  <si>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</si>
  <si>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</si>
  <si>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yellow-highlight</t>
  </si>
  <si>
    <t>All yellow-highlighted cells are taken from Louise's results!</t>
  </si>
  <si>
    <t>grey-highlight</t>
  </si>
  <si>
    <t>All grey-highlighted cells are placeholder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</si>
</sst>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2" fontId="0" fillId="33" borderId="0" xfId="0" applyNumberFormat="1" applyFill="1"/>
    <xf numFmtId="0" fontId="0" fillId="34" borderId="0" xfId="0" applyFill="1"/>
    <xf numFmtId="0" fontId="19" fillId="33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5" Type="http://schemas.openxmlformats.org/officeDocument/2006/relationships/hyperlink" Target="https://www.feedipedia.org/node/11683" TargetMode="External"/><Relationship Id="rId4" Type="http://schemas.openxmlformats.org/officeDocument/2006/relationships/hyperlink" Target="https://www.feedipedia.org/node/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N40"/>
  <sheetViews>
    <sheetView tabSelected="1" zoomScaleNormal="100" workbookViewId="0">
      <selection activeCell="D17" sqref="D17"/>
    </sheetView>
  </sheetViews>
  <sheetFormatPr defaultRowHeight="14.4" x14ac:dyDescent="0.3"/>
  <cols>
    <col min="1" max="1" width="25.33203125" bestFit="1" customWidth="1"/>
    <col min="2" max="5" width="12.44140625" bestFit="1" customWidth="1"/>
    <col min="6" max="7" width="16.33203125" bestFit="1" customWidth="1"/>
    <col min="8" max="8" width="16.21875" bestFit="1" customWidth="1"/>
    <col min="9" max="9" width="16.44140625" bestFit="1" customWidth="1"/>
    <col min="10" max="10" width="16" bestFit="1" customWidth="1"/>
    <col min="11" max="11" width="16.33203125" bestFit="1" customWidth="1"/>
    <col min="12" max="12" width="15.5546875" bestFit="1" customWidth="1"/>
    <col min="13" max="13" width="15.88671875" bestFit="1" customWidth="1"/>
    <col min="14" max="14" width="16.44140625" bestFit="1" customWidth="1"/>
  </cols>
  <sheetData>
    <row r="1" spans="1:14" s="2" customFormat="1" ht="28.8" x14ac:dyDescent="0.3">
      <c r="A1" s="2" t="s">
        <v>0</v>
      </c>
      <c r="B1" s="2" t="s">
        <v>43</v>
      </c>
      <c r="C1" s="2" t="s">
        <v>44</v>
      </c>
      <c r="D1" s="2" t="s">
        <v>45</v>
      </c>
      <c r="E1" s="2" t="s">
        <v>46</v>
      </c>
      <c r="F1" s="2" t="s">
        <v>40</v>
      </c>
      <c r="G1" s="2" t="s">
        <v>34</v>
      </c>
      <c r="H1" s="2" t="s">
        <v>35</v>
      </c>
      <c r="I1" s="2" t="s">
        <v>41</v>
      </c>
      <c r="J1" s="2" t="s">
        <v>36</v>
      </c>
      <c r="K1" s="2" t="s">
        <v>37</v>
      </c>
      <c r="L1" s="2" t="s">
        <v>42</v>
      </c>
      <c r="M1" s="2" t="s">
        <v>38</v>
      </c>
      <c r="N1" s="2" t="s">
        <v>39</v>
      </c>
    </row>
    <row r="2" spans="1:14" x14ac:dyDescent="0.3">
      <c r="A2" t="s">
        <v>47</v>
      </c>
      <c r="B2">
        <v>0</v>
      </c>
      <c r="C2">
        <v>1</v>
      </c>
      <c r="D2">
        <v>0</v>
      </c>
      <c r="E2">
        <v>0</v>
      </c>
      <c r="F2" s="5">
        <v>0.84588505065844988</v>
      </c>
      <c r="G2" s="5">
        <f>F2*0.95</f>
        <v>0.80359079812552736</v>
      </c>
      <c r="H2" s="5">
        <f>G2*1.05</f>
        <v>0.84377033803180379</v>
      </c>
      <c r="I2">
        <v>0.96</v>
      </c>
      <c r="J2">
        <f>I2</f>
        <v>0.96</v>
      </c>
      <c r="K2">
        <f>J2</f>
        <v>0.96</v>
      </c>
      <c r="L2" s="5">
        <v>0.71148214285714262</v>
      </c>
      <c r="M2" s="5">
        <f>L2*0.95</f>
        <v>0.67590803571428548</v>
      </c>
      <c r="N2" s="5">
        <f>M2*1.05</f>
        <v>0.70970343749999976</v>
      </c>
    </row>
    <row r="3" spans="1:14" x14ac:dyDescent="0.3">
      <c r="A3" t="s">
        <v>48</v>
      </c>
      <c r="B3" s="5">
        <v>0.54631047778486397</v>
      </c>
      <c r="C3" s="5">
        <v>5.3001754385964918E-2</v>
      </c>
      <c r="D3" s="5">
        <v>7.6272807017543853E-2</v>
      </c>
      <c r="E3" s="5">
        <f>1-SUM(B3:D3)</f>
        <v>0.32441496081162735</v>
      </c>
      <c r="F3" s="5">
        <v>0.84588505065844988</v>
      </c>
      <c r="G3" s="5">
        <f>F3*0.95</f>
        <v>0.80359079812552736</v>
      </c>
      <c r="H3" s="5">
        <f>G3*1.05</f>
        <v>0.84377033803180379</v>
      </c>
      <c r="I3">
        <v>0.96</v>
      </c>
      <c r="J3">
        <f>I3</f>
        <v>0.96</v>
      </c>
      <c r="K3">
        <f>J3</f>
        <v>0.96</v>
      </c>
      <c r="L3" s="5">
        <v>0.71148214285714262</v>
      </c>
      <c r="M3" s="5">
        <f>L3*0.95</f>
        <v>0.67590803571428548</v>
      </c>
      <c r="N3" s="5">
        <f>M3*1.05</f>
        <v>0.70970343749999976</v>
      </c>
    </row>
    <row r="4" spans="1:14" x14ac:dyDescent="0.3">
      <c r="A4" t="s">
        <v>1</v>
      </c>
      <c r="B4" s="6">
        <v>0.56774999999999998</v>
      </c>
      <c r="C4">
        <v>0.12</v>
      </c>
      <c r="D4">
        <v>0.13</v>
      </c>
      <c r="E4">
        <f>1-SUM(B4:D4)</f>
        <v>0.18225000000000002</v>
      </c>
      <c r="F4" s="4">
        <v>0.798073386</v>
      </c>
      <c r="G4" s="4">
        <v>0.34427008599999998</v>
      </c>
      <c r="H4" s="4">
        <v>0.96128135800000003</v>
      </c>
      <c r="I4">
        <v>0.96</v>
      </c>
      <c r="J4">
        <f>I4</f>
        <v>0.96</v>
      </c>
      <c r="K4">
        <f>J4</f>
        <v>0.96</v>
      </c>
      <c r="L4">
        <v>0.41000000000000003</v>
      </c>
      <c r="M4" s="5">
        <f>L4*0.95</f>
        <v>0.38950000000000001</v>
      </c>
      <c r="N4" s="5">
        <f>M4*1.05</f>
        <v>0.40897500000000003</v>
      </c>
    </row>
    <row r="5" spans="1:14" x14ac:dyDescent="0.3">
      <c r="A5" t="s">
        <v>2</v>
      </c>
      <c r="B5" s="3">
        <v>0.32650000000000001</v>
      </c>
      <c r="C5" s="5">
        <v>5.3001754385964918E-2</v>
      </c>
      <c r="D5" s="5">
        <v>7.6272807017543895E-2</v>
      </c>
      <c r="E5" s="5">
        <f>1-SUM(B5:D5)</f>
        <v>0.54422543859649108</v>
      </c>
      <c r="F5" s="6">
        <v>0.96631291399999997</v>
      </c>
      <c r="G5" s="6">
        <v>0.85393499399999995</v>
      </c>
      <c r="H5" s="6">
        <v>1</v>
      </c>
      <c r="I5">
        <v>0.96</v>
      </c>
      <c r="J5">
        <f>I5</f>
        <v>0.96</v>
      </c>
      <c r="K5">
        <f>J5</f>
        <v>0.96</v>
      </c>
      <c r="L5">
        <v>0.68600000000000005</v>
      </c>
      <c r="M5" s="5">
        <f>L5*0.95</f>
        <v>0.65170000000000006</v>
      </c>
      <c r="N5" s="5">
        <f>M5*1.05</f>
        <v>0.68428500000000014</v>
      </c>
    </row>
    <row r="6" spans="1:14" x14ac:dyDescent="0.3">
      <c r="A6" t="s">
        <v>3</v>
      </c>
      <c r="B6">
        <v>0</v>
      </c>
      <c r="C6">
        <v>1</v>
      </c>
      <c r="D6">
        <v>0</v>
      </c>
      <c r="E6">
        <v>0</v>
      </c>
      <c r="F6" s="5">
        <v>0.84588505065844988</v>
      </c>
      <c r="G6" s="5">
        <f>F6*0.95</f>
        <v>0.80359079812552736</v>
      </c>
      <c r="H6" s="5">
        <f>G6*1.05</f>
        <v>0.84377033803180379</v>
      </c>
      <c r="I6">
        <v>0.96</v>
      </c>
      <c r="J6">
        <f>I6</f>
        <v>0.96</v>
      </c>
      <c r="K6">
        <f>J6</f>
        <v>0.96</v>
      </c>
      <c r="L6" s="5">
        <v>0.71148214285714262</v>
      </c>
      <c r="M6" s="5">
        <f>L6*0.95</f>
        <v>0.67590803571428548</v>
      </c>
      <c r="N6" s="5">
        <f>M6*1.05</f>
        <v>0.70970343749999976</v>
      </c>
    </row>
    <row r="7" spans="1:14" x14ac:dyDescent="0.3">
      <c r="A7" t="s">
        <v>4</v>
      </c>
      <c r="B7">
        <v>0</v>
      </c>
      <c r="C7">
        <v>1</v>
      </c>
      <c r="D7">
        <v>0</v>
      </c>
      <c r="E7">
        <v>0</v>
      </c>
      <c r="F7" s="5">
        <v>0.84588505065844988</v>
      </c>
      <c r="G7" s="5">
        <f>F7*0.95</f>
        <v>0.80359079812552736</v>
      </c>
      <c r="H7" s="5">
        <f>G7*1.05</f>
        <v>0.84377033803180379</v>
      </c>
      <c r="I7">
        <v>0.96</v>
      </c>
      <c r="J7">
        <f>I7</f>
        <v>0.96</v>
      </c>
      <c r="K7">
        <f>J7</f>
        <v>0.96</v>
      </c>
      <c r="L7" s="5">
        <v>0.71148214285714262</v>
      </c>
      <c r="M7" s="5">
        <f>L7*0.95</f>
        <v>0.67590803571428548</v>
      </c>
      <c r="N7" s="5">
        <f>M7*1.05</f>
        <v>0.70970343749999976</v>
      </c>
    </row>
    <row r="8" spans="1:14" x14ac:dyDescent="0.3">
      <c r="A8" t="s">
        <v>5</v>
      </c>
      <c r="B8">
        <v>0.68</v>
      </c>
      <c r="C8">
        <v>7.0000000000000007E-2</v>
      </c>
      <c r="D8">
        <v>0.02</v>
      </c>
      <c r="E8">
        <v>0.24</v>
      </c>
      <c r="F8">
        <v>0.94</v>
      </c>
      <c r="G8" s="5">
        <f>F8*0.95</f>
        <v>0.8929999999999999</v>
      </c>
      <c r="H8" s="5">
        <f>G8*1.05</f>
        <v>0.93764999999999998</v>
      </c>
      <c r="I8">
        <v>0.96</v>
      </c>
      <c r="J8">
        <f>I8</f>
        <v>0.96</v>
      </c>
      <c r="K8">
        <f>J8</f>
        <v>0.96</v>
      </c>
      <c r="L8">
        <v>0.83</v>
      </c>
      <c r="M8" s="5">
        <f>L8*0.95</f>
        <v>0.78849999999999998</v>
      </c>
      <c r="N8" s="5">
        <f>M8*1.05</f>
        <v>0.82792500000000002</v>
      </c>
    </row>
    <row r="9" spans="1:14" x14ac:dyDescent="0.3">
      <c r="A9" t="s">
        <v>6</v>
      </c>
      <c r="B9">
        <v>0.3</v>
      </c>
      <c r="C9">
        <v>0.02</v>
      </c>
      <c r="D9">
        <v>0.04</v>
      </c>
      <c r="E9">
        <v>0.65</v>
      </c>
      <c r="F9">
        <v>0.86</v>
      </c>
      <c r="G9" s="5">
        <f>F9*0.95</f>
        <v>0.81699999999999995</v>
      </c>
      <c r="H9" s="5">
        <f>G9*1.05</f>
        <v>0.85785</v>
      </c>
      <c r="I9">
        <v>0.96</v>
      </c>
      <c r="J9">
        <f>I9</f>
        <v>0.96</v>
      </c>
      <c r="K9">
        <f>J9</f>
        <v>0.96</v>
      </c>
      <c r="L9">
        <v>0.6</v>
      </c>
      <c r="M9" s="5">
        <f>L9*0.95</f>
        <v>0.56999999999999995</v>
      </c>
      <c r="N9" s="5">
        <f>M9*1.05</f>
        <v>0.59849999999999992</v>
      </c>
    </row>
    <row r="10" spans="1:14" x14ac:dyDescent="0.3">
      <c r="A10" t="s">
        <v>7</v>
      </c>
      <c r="B10" s="4">
        <v>0.84332031299999999</v>
      </c>
      <c r="C10" s="5">
        <v>5.3001754385964918E-2</v>
      </c>
      <c r="D10" s="5">
        <v>7.6272807017543853E-2</v>
      </c>
      <c r="E10" s="5">
        <f>1-SUM(B10:D10)</f>
        <v>2.7405125596491331E-2</v>
      </c>
      <c r="F10" s="4">
        <v>0.86404060623452394</v>
      </c>
      <c r="G10" s="4">
        <v>0.432006395470731</v>
      </c>
      <c r="H10" s="4">
        <v>1</v>
      </c>
      <c r="I10">
        <v>0.96</v>
      </c>
      <c r="J10">
        <f>I10</f>
        <v>0.96</v>
      </c>
      <c r="K10">
        <f>J10</f>
        <v>0.96</v>
      </c>
      <c r="L10">
        <v>0.78</v>
      </c>
      <c r="M10" s="5">
        <f>L10*0.95</f>
        <v>0.74099999999999999</v>
      </c>
      <c r="N10" s="5">
        <f>M10*1.05</f>
        <v>0.77805000000000002</v>
      </c>
    </row>
    <row r="11" spans="1:14" x14ac:dyDescent="0.3">
      <c r="A11" t="s">
        <v>8</v>
      </c>
      <c r="B11">
        <f>75.4/100</f>
        <v>0.754</v>
      </c>
      <c r="C11">
        <f>11/100</f>
        <v>0.11</v>
      </c>
      <c r="D11">
        <f>13.6/100</f>
        <v>0.13600000000000001</v>
      </c>
      <c r="E11">
        <f>1-SUM(B11:D11)</f>
        <v>0</v>
      </c>
      <c r="F11">
        <f>90.7/100</f>
        <v>0.90700000000000003</v>
      </c>
      <c r="G11">
        <f>87.5/100</f>
        <v>0.875</v>
      </c>
      <c r="H11">
        <f>93.6/100</f>
        <v>0.93599999999999994</v>
      </c>
      <c r="I11">
        <v>0.96</v>
      </c>
      <c r="J11">
        <f>I11</f>
        <v>0.96</v>
      </c>
      <c r="K11">
        <f>J11</f>
        <v>0.96</v>
      </c>
      <c r="L11">
        <f>83.3/100</f>
        <v>0.83299999999999996</v>
      </c>
      <c r="M11">
        <f>74.5/100</f>
        <v>0.745</v>
      </c>
      <c r="N11">
        <f>92.6/100</f>
        <v>0.92599999999999993</v>
      </c>
    </row>
    <row r="12" spans="1:14" x14ac:dyDescent="0.3">
      <c r="A12" t="s">
        <v>9</v>
      </c>
      <c r="B12">
        <f>70.6/100</f>
        <v>0.70599999999999996</v>
      </c>
      <c r="C12">
        <f>9.9/100</f>
        <v>9.9000000000000005E-2</v>
      </c>
      <c r="D12">
        <f>18.4/100</f>
        <v>0.184</v>
      </c>
      <c r="E12">
        <f>1-SUM(B12:D12)</f>
        <v>1.1000000000000121E-2</v>
      </c>
      <c r="F12">
        <f>87.7/100</f>
        <v>0.877</v>
      </c>
      <c r="G12">
        <f>83.1/100</f>
        <v>0.83099999999999996</v>
      </c>
      <c r="H12">
        <f>91.7/100</f>
        <v>0.91700000000000004</v>
      </c>
      <c r="I12">
        <v>0.96</v>
      </c>
      <c r="J12">
        <f>I12</f>
        <v>0.96</v>
      </c>
      <c r="K12">
        <f>J12</f>
        <v>0.96</v>
      </c>
      <c r="L12">
        <f>81.7/100</f>
        <v>0.81700000000000006</v>
      </c>
      <c r="M12">
        <f>71.8/100</f>
        <v>0.71799999999999997</v>
      </c>
      <c r="N12">
        <f>91.6/100</f>
        <v>0.91599999999999993</v>
      </c>
    </row>
    <row r="13" spans="1:14" x14ac:dyDescent="0.3">
      <c r="A13" t="s">
        <v>10</v>
      </c>
      <c r="B13">
        <v>0</v>
      </c>
      <c r="C13">
        <v>1</v>
      </c>
      <c r="D13">
        <v>0</v>
      </c>
      <c r="E13">
        <v>0</v>
      </c>
      <c r="F13" s="5">
        <v>0.84588505065844988</v>
      </c>
      <c r="G13" s="5">
        <f>F13*0.95</f>
        <v>0.80359079812552736</v>
      </c>
      <c r="H13" s="5">
        <f>G13*1.05</f>
        <v>0.84377033803180379</v>
      </c>
      <c r="I13">
        <v>0.96</v>
      </c>
      <c r="J13">
        <f>I13</f>
        <v>0.96</v>
      </c>
      <c r="K13">
        <f>J13</f>
        <v>0.96</v>
      </c>
      <c r="L13" s="5">
        <v>0.71148214285714262</v>
      </c>
      <c r="M13" s="5">
        <f>L13*0.95</f>
        <v>0.67590803571428548</v>
      </c>
      <c r="N13" s="5">
        <f>M13*1.05</f>
        <v>0.70970343749999976</v>
      </c>
    </row>
    <row r="14" spans="1:14" x14ac:dyDescent="0.3">
      <c r="A14" t="s">
        <v>11</v>
      </c>
      <c r="B14">
        <v>0</v>
      </c>
      <c r="C14">
        <v>1</v>
      </c>
      <c r="D14">
        <v>0</v>
      </c>
      <c r="E14">
        <v>0</v>
      </c>
      <c r="F14" s="5">
        <v>0.84588505065844988</v>
      </c>
      <c r="G14" s="5">
        <f>F14*0.95</f>
        <v>0.80359079812552736</v>
      </c>
      <c r="H14" s="5">
        <f>G14*1.05</f>
        <v>0.84377033803180379</v>
      </c>
      <c r="I14">
        <v>0.96</v>
      </c>
      <c r="J14">
        <f>I14</f>
        <v>0.96</v>
      </c>
      <c r="K14">
        <f>J14</f>
        <v>0.96</v>
      </c>
      <c r="L14" s="5">
        <v>0.71148214285714262</v>
      </c>
      <c r="M14" s="5">
        <f>L14*0.95</f>
        <v>0.67590803571428548</v>
      </c>
      <c r="N14" s="5">
        <f>M14*1.05</f>
        <v>0.70970343749999976</v>
      </c>
    </row>
    <row r="15" spans="1:14" x14ac:dyDescent="0.3">
      <c r="A15" t="s">
        <v>12</v>
      </c>
      <c r="B15">
        <v>0.42</v>
      </c>
      <c r="C15">
        <v>5.2999999999999999E-2</v>
      </c>
      <c r="D15">
        <v>5.8000000000000003E-2</v>
      </c>
      <c r="E15">
        <v>0.46899999999999997</v>
      </c>
      <c r="F15">
        <v>0.63000000000000012</v>
      </c>
      <c r="G15" s="5">
        <f>F15*0.95</f>
        <v>0.59850000000000003</v>
      </c>
      <c r="H15" s="5">
        <f>G15*1.05</f>
        <v>0.62842500000000001</v>
      </c>
      <c r="I15">
        <v>0.96</v>
      </c>
      <c r="J15">
        <f>I15</f>
        <v>0.96</v>
      </c>
      <c r="K15">
        <f>J15</f>
        <v>0.96</v>
      </c>
      <c r="L15">
        <v>0.65000000000000013</v>
      </c>
      <c r="M15" s="5">
        <f>L15*0.95</f>
        <v>0.61750000000000005</v>
      </c>
      <c r="N15" s="5">
        <f>M15*1.05</f>
        <v>0.64837500000000003</v>
      </c>
    </row>
    <row r="16" spans="1:14" x14ac:dyDescent="0.3">
      <c r="A16" t="s">
        <v>13</v>
      </c>
      <c r="B16">
        <v>0.55800000000000005</v>
      </c>
      <c r="C16">
        <v>4.7E-2</v>
      </c>
      <c r="D16">
        <v>5.3999999999999999E-2</v>
      </c>
      <c r="E16">
        <v>0.34100000000000003</v>
      </c>
      <c r="F16">
        <v>0.63000000000000012</v>
      </c>
      <c r="G16" s="5">
        <f>F16*0.95</f>
        <v>0.59850000000000003</v>
      </c>
      <c r="H16" s="5">
        <f>G16*1.05</f>
        <v>0.62842500000000001</v>
      </c>
      <c r="I16">
        <v>0.96</v>
      </c>
      <c r="J16">
        <f>I16</f>
        <v>0.96</v>
      </c>
      <c r="K16">
        <f>J16</f>
        <v>0.96</v>
      </c>
      <c r="L16">
        <v>0.65000000000000013</v>
      </c>
      <c r="M16" s="5">
        <f>L16*0.95</f>
        <v>0.61750000000000005</v>
      </c>
      <c r="N16" s="5">
        <f>M16*1.05</f>
        <v>0.64837500000000003</v>
      </c>
    </row>
    <row r="17" spans="1:14" x14ac:dyDescent="0.3">
      <c r="A17" t="s">
        <v>49</v>
      </c>
      <c r="B17">
        <v>0.94099999999999995</v>
      </c>
      <c r="C17">
        <v>0.08</v>
      </c>
      <c r="D17">
        <v>0</v>
      </c>
      <c r="E17">
        <v>0</v>
      </c>
      <c r="F17">
        <v>0.622</v>
      </c>
      <c r="G17" s="5">
        <f>F17*0.95</f>
        <v>0.59089999999999998</v>
      </c>
      <c r="H17" s="5">
        <f>G17*1.05</f>
        <v>0.62044500000000002</v>
      </c>
      <c r="I17">
        <v>0.96</v>
      </c>
      <c r="J17">
        <f>I17</f>
        <v>0.96</v>
      </c>
      <c r="K17">
        <f>J17</f>
        <v>0.96</v>
      </c>
      <c r="L17">
        <v>0.60399999999999998</v>
      </c>
      <c r="M17" s="5">
        <f>L17*0.95</f>
        <v>0.57379999999999998</v>
      </c>
      <c r="N17" s="5">
        <f>M17*1.05</f>
        <v>0.60248999999999997</v>
      </c>
    </row>
    <row r="18" spans="1:14" x14ac:dyDescent="0.3">
      <c r="A18" t="s">
        <v>14</v>
      </c>
      <c r="B18" s="4">
        <v>0.55100000000000005</v>
      </c>
      <c r="C18" s="5">
        <v>5.3001754385964918E-2</v>
      </c>
      <c r="D18" s="5">
        <v>7.6272807017543895E-2</v>
      </c>
      <c r="E18" s="5">
        <f>1-SUM(B18:D18)</f>
        <v>0.31972543859649116</v>
      </c>
      <c r="F18" s="4">
        <v>0.89096484899999995</v>
      </c>
      <c r="G18" s="4">
        <v>0.86241600900000004</v>
      </c>
      <c r="H18" s="4">
        <v>0.91761146400000004</v>
      </c>
      <c r="I18">
        <v>0.96</v>
      </c>
      <c r="J18">
        <f>I18</f>
        <v>0.96</v>
      </c>
      <c r="K18">
        <f>J18</f>
        <v>0.96</v>
      </c>
      <c r="L18">
        <v>0.59399999999999997</v>
      </c>
      <c r="M18">
        <f>L18-3*(2.16/100)</f>
        <v>0.5292</v>
      </c>
      <c r="N18">
        <f>L18+3*(2.16/100)</f>
        <v>0.65879999999999994</v>
      </c>
    </row>
    <row r="19" spans="1:14" x14ac:dyDescent="0.3">
      <c r="A19" t="s">
        <v>15</v>
      </c>
      <c r="B19">
        <v>0</v>
      </c>
      <c r="C19">
        <v>1</v>
      </c>
      <c r="D19">
        <v>0</v>
      </c>
      <c r="E19">
        <v>0</v>
      </c>
      <c r="F19" s="5">
        <v>0.84588505065844988</v>
      </c>
      <c r="G19" s="5">
        <f>F19*0.95</f>
        <v>0.80359079812552736</v>
      </c>
      <c r="H19" s="5">
        <f>G19*1.05</f>
        <v>0.84377033803180379</v>
      </c>
      <c r="I19">
        <v>0.96</v>
      </c>
      <c r="J19">
        <f>I19</f>
        <v>0.96</v>
      </c>
      <c r="K19">
        <f>J19</f>
        <v>0.96</v>
      </c>
      <c r="L19" s="5">
        <v>0.71148214285714262</v>
      </c>
      <c r="M19" s="5">
        <f>L19*0.95</f>
        <v>0.67590803571428548</v>
      </c>
      <c r="N19" s="5">
        <f>M19*1.05</f>
        <v>0.70970343749999976</v>
      </c>
    </row>
    <row r="20" spans="1:14" x14ac:dyDescent="0.3">
      <c r="A20" t="s">
        <v>50</v>
      </c>
      <c r="B20">
        <f>AVERAGE(420.2,405.3,420.2,403.8,390.7,468.4)/1000</f>
        <v>0.41809999999999997</v>
      </c>
      <c r="C20">
        <f>AVERAGE(175.4,153.9,171.8,132.3,106.7,100.1)/1000</f>
        <v>0.14003333333333337</v>
      </c>
      <c r="D20">
        <f>AVERAGE(28.6,37.6,28,37.3,25.9,29.7)/1000</f>
        <v>3.1183333333333334E-2</v>
      </c>
      <c r="E20">
        <f>1-SUM(B20:D20)</f>
        <v>0.41068333333333329</v>
      </c>
      <c r="F20">
        <f>AVERAGE(89.5,89.3,87.9,88.2,89.3,90.1)/100</f>
        <v>0.89050000000000007</v>
      </c>
      <c r="G20">
        <f>MIN(89.5,89.3,87.9,88.2,89.3,90.1)/100</f>
        <v>0.879</v>
      </c>
      <c r="H20">
        <f>MAX(89.5,89.3,87.9,88.2,89.3,90.1)/100</f>
        <v>0.90099999999999991</v>
      </c>
      <c r="I20">
        <v>0.96</v>
      </c>
      <c r="J20">
        <f>I20</f>
        <v>0.96</v>
      </c>
      <c r="K20">
        <f>J20</f>
        <v>0.96</v>
      </c>
      <c r="L20">
        <f>AVERAGE(79.7,80.2,80,80,81.2,77.4)/100</f>
        <v>0.79749999999999999</v>
      </c>
      <c r="M20">
        <f>MIN(79.7,80.2,80,80,81.2,77.4)/100</f>
        <v>0.77400000000000002</v>
      </c>
      <c r="N20">
        <f>MAX(79.7,80.2,80,80,81.2,77.4)/100</f>
        <v>0.81200000000000006</v>
      </c>
    </row>
    <row r="21" spans="1:14" x14ac:dyDescent="0.3">
      <c r="A21" t="s">
        <v>16</v>
      </c>
      <c r="B21" s="4">
        <v>0.53783333300000002</v>
      </c>
      <c r="C21" s="5">
        <v>5.3001754385964918E-2</v>
      </c>
      <c r="D21" s="5">
        <v>7.6272807017543895E-2</v>
      </c>
      <c r="E21" s="5">
        <f>1-SUM(B21:D21)</f>
        <v>0.33289210559649118</v>
      </c>
      <c r="F21" s="4">
        <v>0.71652838200000002</v>
      </c>
      <c r="G21" s="4">
        <v>0.36916719799999997</v>
      </c>
      <c r="H21" s="4">
        <v>0.94720059899999998</v>
      </c>
      <c r="I21">
        <v>0.96</v>
      </c>
      <c r="J21">
        <f>I21</f>
        <v>0.96</v>
      </c>
      <c r="K21">
        <f>J21</f>
        <v>0.96</v>
      </c>
      <c r="L21">
        <v>0.68700000000000006</v>
      </c>
      <c r="M21" s="5">
        <f>L21*0.95</f>
        <v>0.65265000000000006</v>
      </c>
      <c r="N21" s="5">
        <f>M21*1.05</f>
        <v>0.68528250000000013</v>
      </c>
    </row>
    <row r="22" spans="1:14" x14ac:dyDescent="0.3">
      <c r="A22" t="s">
        <v>17</v>
      </c>
      <c r="B22">
        <v>0</v>
      </c>
      <c r="C22">
        <v>0</v>
      </c>
      <c r="D22">
        <v>0</v>
      </c>
      <c r="E22">
        <v>0</v>
      </c>
      <c r="F22" s="5">
        <v>0.84588505065844988</v>
      </c>
      <c r="G22" s="5">
        <f>F22*0.95</f>
        <v>0.80359079812552736</v>
      </c>
      <c r="H22" s="5">
        <f>G22*1.05</f>
        <v>0.84377033803180379</v>
      </c>
      <c r="I22">
        <v>0.96</v>
      </c>
      <c r="J22">
        <f>I22</f>
        <v>0.96</v>
      </c>
      <c r="K22">
        <f>J22</f>
        <v>0.96</v>
      </c>
      <c r="L22" s="5">
        <v>0.71148214285714262</v>
      </c>
      <c r="M22" s="5">
        <f>L22*0.95</f>
        <v>0.67590803571428548</v>
      </c>
      <c r="N22" s="5">
        <f>M22*1.05</f>
        <v>0.70970343749999976</v>
      </c>
    </row>
    <row r="23" spans="1:14" x14ac:dyDescent="0.3">
      <c r="A23" t="s">
        <v>18</v>
      </c>
      <c r="B23" s="4">
        <v>0.62166666699999995</v>
      </c>
      <c r="C23" s="5">
        <v>5.3001754385964918E-2</v>
      </c>
      <c r="D23" s="5">
        <v>7.6272807017543895E-2</v>
      </c>
      <c r="E23" s="5">
        <f>1-SUM(B23:D23)</f>
        <v>0.24905877159649126</v>
      </c>
      <c r="F23" s="4">
        <v>0.59214926700000003</v>
      </c>
      <c r="G23" s="4">
        <v>0.42585267799999998</v>
      </c>
      <c r="H23" s="4">
        <v>0.70163032999999997</v>
      </c>
      <c r="I23">
        <v>0.96</v>
      </c>
      <c r="J23">
        <f>I23</f>
        <v>0.96</v>
      </c>
      <c r="K23">
        <f>J23</f>
        <v>0.96</v>
      </c>
      <c r="L23">
        <v>0.68900000000000006</v>
      </c>
      <c r="M23" s="5">
        <f>L23*0.95</f>
        <v>0.65455000000000008</v>
      </c>
      <c r="N23" s="5">
        <f>M23*1.05</f>
        <v>0.6872775000000001</v>
      </c>
    </row>
    <row r="24" spans="1:14" x14ac:dyDescent="0.3">
      <c r="A24" t="s">
        <v>19</v>
      </c>
      <c r="B24">
        <v>0.23</v>
      </c>
      <c r="C24">
        <v>0.01</v>
      </c>
      <c r="D24">
        <v>0.31</v>
      </c>
      <c r="E24">
        <v>0.45</v>
      </c>
      <c r="F24">
        <v>0.8</v>
      </c>
      <c r="G24" s="5">
        <f>F24*0.95</f>
        <v>0.76</v>
      </c>
      <c r="H24" s="5">
        <f>G24*1.05</f>
        <v>0.79800000000000004</v>
      </c>
      <c r="I24">
        <v>0.96</v>
      </c>
      <c r="J24">
        <f>I24</f>
        <v>0.96</v>
      </c>
      <c r="K24">
        <f>J24</f>
        <v>0.96</v>
      </c>
      <c r="L24">
        <v>0.57999999999999996</v>
      </c>
      <c r="M24" s="5">
        <f>L24*0.95</f>
        <v>0.55099999999999993</v>
      </c>
      <c r="N24" s="5">
        <f>M24*1.05</f>
        <v>0.57855000000000001</v>
      </c>
    </row>
    <row r="25" spans="1:14" x14ac:dyDescent="0.3">
      <c r="A25" t="s">
        <v>20</v>
      </c>
      <c r="B25">
        <v>0.84</v>
      </c>
      <c r="C25">
        <v>0.05</v>
      </c>
      <c r="D25">
        <v>0.04</v>
      </c>
      <c r="E25">
        <v>7.0000000000000007E-2</v>
      </c>
      <c r="F25">
        <v>0.88</v>
      </c>
      <c r="G25" s="5">
        <f>F25*0.95</f>
        <v>0.83599999999999997</v>
      </c>
      <c r="H25" s="5">
        <f>G25*1.05</f>
        <v>0.87780000000000002</v>
      </c>
      <c r="I25">
        <v>0.96</v>
      </c>
      <c r="J25">
        <f>I25</f>
        <v>0.96</v>
      </c>
      <c r="K25">
        <f>J25</f>
        <v>0.96</v>
      </c>
      <c r="L25">
        <v>0.77</v>
      </c>
      <c r="M25" s="5">
        <f>L25*0.95</f>
        <v>0.73149999999999993</v>
      </c>
      <c r="N25" s="5">
        <f>M25*1.05</f>
        <v>0.76807499999999995</v>
      </c>
    </row>
    <row r="26" spans="1:14" x14ac:dyDescent="0.3">
      <c r="A26" t="s">
        <v>21</v>
      </c>
      <c r="B26" s="4">
        <v>0.72292857099999996</v>
      </c>
      <c r="C26" s="5">
        <v>5.3001754385964918E-2</v>
      </c>
      <c r="D26" s="5">
        <v>7.6272807017543895E-2</v>
      </c>
      <c r="E26" s="5">
        <f>1-SUM(B26:D26)</f>
        <v>0.14779686759649124</v>
      </c>
      <c r="F26" s="4">
        <v>0.90379253800000003</v>
      </c>
      <c r="G26" s="4">
        <v>0.63667054599999995</v>
      </c>
      <c r="H26" s="4">
        <v>1.6348451470000001</v>
      </c>
      <c r="I26">
        <v>0.96</v>
      </c>
      <c r="J26">
        <f>I26</f>
        <v>0.96</v>
      </c>
      <c r="K26">
        <f>J26</f>
        <v>0.96</v>
      </c>
      <c r="L26">
        <v>0.68899999999999995</v>
      </c>
      <c r="M26" s="5">
        <f>L26*0.95</f>
        <v>0.65454999999999997</v>
      </c>
      <c r="N26" s="5">
        <f>M26*1.05</f>
        <v>0.68727749999999999</v>
      </c>
    </row>
    <row r="27" spans="1:14" x14ac:dyDescent="0.3">
      <c r="A27" t="s">
        <v>51</v>
      </c>
      <c r="B27">
        <v>0</v>
      </c>
      <c r="C27">
        <v>1</v>
      </c>
      <c r="D27">
        <v>0</v>
      </c>
      <c r="E27">
        <v>0</v>
      </c>
      <c r="F27" s="5">
        <v>0.84588505065844988</v>
      </c>
      <c r="G27" s="5">
        <f>F27*0.95</f>
        <v>0.80359079812552736</v>
      </c>
      <c r="H27" s="5">
        <f>G27*1.05</f>
        <v>0.84377033803180379</v>
      </c>
      <c r="I27">
        <v>0.96</v>
      </c>
      <c r="J27">
        <f>I27</f>
        <v>0.96</v>
      </c>
      <c r="K27">
        <f>J27</f>
        <v>0.96</v>
      </c>
      <c r="L27" s="5">
        <v>0.71148214285714262</v>
      </c>
      <c r="M27" s="5">
        <f>L27*0.95</f>
        <v>0.67590803571428548</v>
      </c>
      <c r="N27" s="5">
        <f>M27*1.05</f>
        <v>0.70970343749999976</v>
      </c>
    </row>
    <row r="28" spans="1:14" x14ac:dyDescent="0.3">
      <c r="A28" t="s">
        <v>52</v>
      </c>
      <c r="B28" s="4">
        <v>0.81850000000000001</v>
      </c>
      <c r="C28" s="5">
        <v>5.3001754385964918E-2</v>
      </c>
      <c r="D28" s="5">
        <v>7.6272807017543895E-2</v>
      </c>
      <c r="E28" s="5">
        <f>1-SUM(B28:D28)</f>
        <v>5.2225438596491203E-2</v>
      </c>
      <c r="F28" s="4">
        <v>0.92645719800000004</v>
      </c>
      <c r="G28" s="4">
        <v>0.90755127400000002</v>
      </c>
      <c r="H28" s="4">
        <v>0.93688355000000001</v>
      </c>
      <c r="I28">
        <v>0.96</v>
      </c>
      <c r="J28">
        <f>I28</f>
        <v>0.96</v>
      </c>
      <c r="K28">
        <f>J28</f>
        <v>0.96</v>
      </c>
      <c r="L28">
        <v>0.88000000000000012</v>
      </c>
      <c r="M28" s="5">
        <f>L28*0.95</f>
        <v>0.83600000000000008</v>
      </c>
      <c r="N28" s="5">
        <f>M28*1.05</f>
        <v>0.87780000000000014</v>
      </c>
    </row>
    <row r="29" spans="1:14" x14ac:dyDescent="0.3">
      <c r="A29" t="s">
        <v>22</v>
      </c>
      <c r="B29">
        <v>0</v>
      </c>
      <c r="C29">
        <v>1</v>
      </c>
      <c r="D29">
        <v>0</v>
      </c>
      <c r="E29">
        <v>0</v>
      </c>
      <c r="F29" s="5">
        <v>0.84588505065844988</v>
      </c>
      <c r="G29" s="5">
        <f>F29*0.95</f>
        <v>0.80359079812552736</v>
      </c>
      <c r="H29" s="5">
        <f>G29*1.05</f>
        <v>0.84377033803180379</v>
      </c>
      <c r="I29">
        <v>0.96</v>
      </c>
      <c r="J29">
        <f>I29</f>
        <v>0.96</v>
      </c>
      <c r="K29">
        <f>J29</f>
        <v>0.96</v>
      </c>
      <c r="L29" s="5">
        <v>0.71148214285714262</v>
      </c>
      <c r="M29" s="5">
        <f>L29*0.95</f>
        <v>0.67590803571428548</v>
      </c>
      <c r="N29" s="5">
        <f>M29*1.05</f>
        <v>0.70970343749999976</v>
      </c>
    </row>
    <row r="30" spans="1:14" x14ac:dyDescent="0.3">
      <c r="A30" t="s">
        <v>23</v>
      </c>
      <c r="B30" s="4">
        <v>0.75900000000000001</v>
      </c>
      <c r="C30" s="5">
        <v>5.3001754385964918E-2</v>
      </c>
      <c r="D30" s="5">
        <v>7.6272807017543895E-2</v>
      </c>
      <c r="E30" s="5">
        <f>1-SUM(B30:D30)</f>
        <v>0.1117254385964912</v>
      </c>
      <c r="F30" s="4">
        <v>0.95743720300000001</v>
      </c>
      <c r="G30" s="4">
        <v>0.92355465400000003</v>
      </c>
      <c r="H30" s="4">
        <v>0.98207198299999998</v>
      </c>
      <c r="I30">
        <v>0.96</v>
      </c>
      <c r="J30">
        <f>I30</f>
        <v>0.96</v>
      </c>
      <c r="K30">
        <f>J30</f>
        <v>0.96</v>
      </c>
      <c r="L30">
        <v>0.68000000000000016</v>
      </c>
      <c r="M30" s="5">
        <f>L30*0.95</f>
        <v>0.64600000000000013</v>
      </c>
      <c r="N30" s="5">
        <f>M30*1.05</f>
        <v>0.67830000000000013</v>
      </c>
    </row>
    <row r="31" spans="1:14" x14ac:dyDescent="0.3">
      <c r="A31" t="s">
        <v>24</v>
      </c>
      <c r="B31" s="4">
        <v>0.65300000000000002</v>
      </c>
      <c r="C31">
        <v>0.02</v>
      </c>
      <c r="D31">
        <v>7.0000000000000007E-2</v>
      </c>
      <c r="E31">
        <v>0.39</v>
      </c>
      <c r="F31" s="4">
        <v>0.89593621899999998</v>
      </c>
      <c r="G31" s="4">
        <v>0.87892045299999999</v>
      </c>
      <c r="H31" s="4">
        <v>0.91358346499999998</v>
      </c>
      <c r="I31">
        <v>0.96</v>
      </c>
      <c r="J31">
        <f>I31</f>
        <v>0.96</v>
      </c>
      <c r="K31">
        <f>J31</f>
        <v>0.96</v>
      </c>
      <c r="L31">
        <v>0.82</v>
      </c>
      <c r="M31" s="5">
        <f>L31*0.95</f>
        <v>0.77899999999999991</v>
      </c>
      <c r="N31" s="5">
        <f>M31*1.05</f>
        <v>0.81794999999999995</v>
      </c>
    </row>
    <row r="32" spans="1:14" x14ac:dyDescent="0.3">
      <c r="A32" t="s">
        <v>25</v>
      </c>
      <c r="B32">
        <v>0</v>
      </c>
      <c r="C32">
        <v>1</v>
      </c>
      <c r="D32">
        <v>0</v>
      </c>
      <c r="E32">
        <v>0</v>
      </c>
      <c r="F32" s="5">
        <v>0.84588505065844988</v>
      </c>
      <c r="G32" s="5">
        <f>F32*0.95</f>
        <v>0.80359079812552736</v>
      </c>
      <c r="H32" s="5">
        <f>G32*1.05</f>
        <v>0.84377033803180379</v>
      </c>
      <c r="I32">
        <v>0.96</v>
      </c>
      <c r="J32">
        <f>I32</f>
        <v>0.96</v>
      </c>
      <c r="K32">
        <f>J32</f>
        <v>0.96</v>
      </c>
      <c r="L32" s="5">
        <v>0.71148214285714262</v>
      </c>
      <c r="M32" s="5">
        <f>L32*0.95</f>
        <v>0.67590803571428548</v>
      </c>
      <c r="N32" s="5">
        <f>M32*1.05</f>
        <v>0.70970343749999976</v>
      </c>
    </row>
    <row r="33" spans="1:14" x14ac:dyDescent="0.3">
      <c r="A33" t="s">
        <v>26</v>
      </c>
      <c r="B33" s="4">
        <v>0.66174999999999995</v>
      </c>
      <c r="C33" s="5">
        <v>5.3001754385964918E-2</v>
      </c>
      <c r="D33" s="5">
        <v>7.6272807017543895E-2</v>
      </c>
      <c r="E33" s="5">
        <f>1-SUM(B33:D33)</f>
        <v>0.20897543859649126</v>
      </c>
      <c r="F33" s="4">
        <v>0.86798476099999999</v>
      </c>
      <c r="G33" s="4">
        <v>0.76744743500000001</v>
      </c>
      <c r="H33" s="4">
        <v>0.95396578300000001</v>
      </c>
      <c r="I33">
        <v>0.96</v>
      </c>
      <c r="J33">
        <f>I33</f>
        <v>0.96</v>
      </c>
      <c r="K33">
        <f>J33</f>
        <v>0.96</v>
      </c>
      <c r="L33">
        <v>0.875</v>
      </c>
      <c r="M33" s="5">
        <f>L33*0.95</f>
        <v>0.83124999999999993</v>
      </c>
      <c r="N33" s="5">
        <f>M33*1.05</f>
        <v>0.87281249999999999</v>
      </c>
    </row>
    <row r="34" spans="1:14" x14ac:dyDescent="0.3">
      <c r="A34" t="s">
        <v>27</v>
      </c>
      <c r="B34">
        <v>0.63800000000000001</v>
      </c>
      <c r="C34">
        <v>6.0999999999999999E-2</v>
      </c>
      <c r="D34">
        <v>8.8999999999999996E-2</v>
      </c>
      <c r="E34">
        <f>1-SUM(B34:D34)</f>
        <v>0.21199999999999997</v>
      </c>
      <c r="F34">
        <v>0.81</v>
      </c>
      <c r="G34" s="5">
        <f>F34*0.95</f>
        <v>0.76949999999999996</v>
      </c>
      <c r="H34" s="5">
        <f>G34*1.05</f>
        <v>0.807975</v>
      </c>
      <c r="I34">
        <v>0.96</v>
      </c>
      <c r="J34">
        <f>I34</f>
        <v>0.96</v>
      </c>
      <c r="K34">
        <f>J34</f>
        <v>0.96</v>
      </c>
      <c r="L34">
        <v>0.72</v>
      </c>
      <c r="M34" s="5">
        <f>L34*0.95</f>
        <v>0.68399999999999994</v>
      </c>
      <c r="N34" s="5">
        <f>M34*1.05</f>
        <v>0.71819999999999995</v>
      </c>
    </row>
    <row r="35" spans="1:14" x14ac:dyDescent="0.3">
      <c r="A35" t="s">
        <v>28</v>
      </c>
      <c r="B35">
        <v>0.32400000000000001</v>
      </c>
      <c r="C35">
        <v>2.1999999999999999E-2</v>
      </c>
      <c r="D35">
        <v>7.0999999999999994E-2</v>
      </c>
      <c r="E35">
        <v>0.58299999999999996</v>
      </c>
      <c r="F35">
        <v>0.87</v>
      </c>
      <c r="G35" s="5">
        <f>F35*0.95</f>
        <v>0.82650000000000001</v>
      </c>
      <c r="H35" s="5">
        <f>G35*1.05</f>
        <v>0.86782500000000007</v>
      </c>
      <c r="I35">
        <v>0.96</v>
      </c>
      <c r="J35">
        <f>I35</f>
        <v>0.96</v>
      </c>
      <c r="K35">
        <f>J35</f>
        <v>0.96</v>
      </c>
      <c r="L35">
        <v>0.61</v>
      </c>
      <c r="M35" s="5">
        <f>L35*0.95</f>
        <v>0.57950000000000002</v>
      </c>
      <c r="N35" s="5">
        <f>M35*1.05</f>
        <v>0.60847499999999999</v>
      </c>
    </row>
    <row r="36" spans="1:14" x14ac:dyDescent="0.3">
      <c r="A36" t="s">
        <v>29</v>
      </c>
      <c r="B36">
        <v>0.377</v>
      </c>
      <c r="C36">
        <v>1.7999999999999999E-2</v>
      </c>
      <c r="D36">
        <v>7.6999999999999999E-2</v>
      </c>
      <c r="E36">
        <v>0.52800000000000002</v>
      </c>
      <c r="F36">
        <v>0.87</v>
      </c>
      <c r="G36" s="5">
        <f>F36*0.95</f>
        <v>0.82650000000000001</v>
      </c>
      <c r="H36" s="5">
        <f>G36*1.05</f>
        <v>0.86782500000000007</v>
      </c>
      <c r="I36">
        <v>0.96</v>
      </c>
      <c r="J36">
        <f>I36</f>
        <v>0.96</v>
      </c>
      <c r="K36">
        <f>J36</f>
        <v>0.96</v>
      </c>
      <c r="L36">
        <v>0.61</v>
      </c>
      <c r="M36" s="5">
        <f>L36*0.95</f>
        <v>0.57950000000000002</v>
      </c>
      <c r="N36" s="5">
        <f>M36*1.05</f>
        <v>0.60847499999999999</v>
      </c>
    </row>
    <row r="37" spans="1:14" x14ac:dyDescent="0.3">
      <c r="A37" t="s">
        <v>30</v>
      </c>
      <c r="B37">
        <v>2.9000000000000001E-2</v>
      </c>
      <c r="C37">
        <v>7.0000000000000001E-3</v>
      </c>
      <c r="D37">
        <v>3.9E-2</v>
      </c>
      <c r="E37">
        <v>0.92500000000000004</v>
      </c>
      <c r="F37">
        <v>0.84000000000000008</v>
      </c>
      <c r="G37" s="5">
        <f>F37*0.95</f>
        <v>0.79800000000000004</v>
      </c>
      <c r="H37" s="5">
        <f>G37*1.05</f>
        <v>0.83790000000000009</v>
      </c>
      <c r="I37">
        <v>0.96</v>
      </c>
      <c r="J37">
        <f>I37</f>
        <v>0.96</v>
      </c>
      <c r="K37">
        <f>J37</f>
        <v>0.96</v>
      </c>
      <c r="L37">
        <v>0.7</v>
      </c>
      <c r="M37" s="5">
        <f>L37*0.95</f>
        <v>0.66499999999999992</v>
      </c>
      <c r="N37" s="5">
        <f>M37*1.05</f>
        <v>0.69824999999999993</v>
      </c>
    </row>
    <row r="38" spans="1:14" x14ac:dyDescent="0.3">
      <c r="A38" t="s">
        <v>31</v>
      </c>
      <c r="B38">
        <v>0.13</v>
      </c>
      <c r="C38">
        <v>0.02</v>
      </c>
      <c r="D38">
        <v>0.02</v>
      </c>
      <c r="E38">
        <v>0.84</v>
      </c>
      <c r="F38">
        <v>0.9</v>
      </c>
      <c r="G38" s="5">
        <f>F38*0.95</f>
        <v>0.85499999999999998</v>
      </c>
      <c r="H38" s="5">
        <f>G38*1.05</f>
        <v>0.89775000000000005</v>
      </c>
      <c r="I38">
        <v>0.96</v>
      </c>
      <c r="J38">
        <f>I38</f>
        <v>0.96</v>
      </c>
      <c r="K38">
        <f>J38</f>
        <v>0.96</v>
      </c>
      <c r="L38">
        <v>0.8</v>
      </c>
      <c r="M38" s="5">
        <f>L38*0.95</f>
        <v>0.76</v>
      </c>
      <c r="N38" s="5">
        <f>M38*1.05</f>
        <v>0.79800000000000004</v>
      </c>
    </row>
    <row r="39" spans="1:14" x14ac:dyDescent="0.3">
      <c r="A39" t="s">
        <v>32</v>
      </c>
      <c r="B39">
        <v>0.85</v>
      </c>
      <c r="C39">
        <v>0.02</v>
      </c>
      <c r="D39">
        <v>0.01</v>
      </c>
      <c r="E39">
        <v>0.12</v>
      </c>
      <c r="F39">
        <v>0.94</v>
      </c>
      <c r="G39" s="5">
        <f>F39*0.95</f>
        <v>0.8929999999999999</v>
      </c>
      <c r="H39" s="5">
        <f>G39*1.05</f>
        <v>0.93764999999999998</v>
      </c>
      <c r="I39">
        <v>0.96</v>
      </c>
      <c r="J39">
        <f>I39</f>
        <v>0.96</v>
      </c>
      <c r="K39">
        <f>J39</f>
        <v>0.96</v>
      </c>
      <c r="L39">
        <v>0.86</v>
      </c>
      <c r="M39" s="5">
        <f>L39*0.95</f>
        <v>0.81699999999999995</v>
      </c>
      <c r="N39" s="5">
        <f>M39*1.05</f>
        <v>0.85785</v>
      </c>
    </row>
    <row r="40" spans="1:14" x14ac:dyDescent="0.3">
      <c r="A40" t="s">
        <v>33</v>
      </c>
      <c r="B40">
        <v>0.48</v>
      </c>
      <c r="C40">
        <v>0.04</v>
      </c>
      <c r="D40">
        <v>7.0000000000000007E-2</v>
      </c>
      <c r="E40">
        <v>0.41</v>
      </c>
      <c r="F40">
        <v>0.82000000000000006</v>
      </c>
      <c r="G40" s="5">
        <f>F40*0.95</f>
        <v>0.77900000000000003</v>
      </c>
      <c r="H40" s="5">
        <f>G40*1.05</f>
        <v>0.81795000000000007</v>
      </c>
      <c r="I40">
        <v>0.96</v>
      </c>
      <c r="J40">
        <f>I40</f>
        <v>0.96</v>
      </c>
      <c r="K40">
        <f>J40</f>
        <v>0.96</v>
      </c>
      <c r="L40">
        <v>0.7</v>
      </c>
      <c r="M40" s="5">
        <f>L40*0.95</f>
        <v>0.66499999999999992</v>
      </c>
      <c r="N40" s="5">
        <f>M40*1.05</f>
        <v>0.69824999999999993</v>
      </c>
    </row>
  </sheetData>
  <autoFilter ref="A1:N40" xr:uid="{FEB86C80-6855-4296-9746-1E92B0D65FFA}">
    <sortState xmlns:xlrd2="http://schemas.microsoft.com/office/spreadsheetml/2017/richdata2" ref="A2:N40">
      <sortCondition ref="A1:A4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C42"/>
  <sheetViews>
    <sheetView zoomScale="85" zoomScaleNormal="85" workbookViewId="0">
      <selection activeCell="B42" sqref="B42"/>
    </sheetView>
  </sheetViews>
  <sheetFormatPr defaultRowHeight="14.4" x14ac:dyDescent="0.3"/>
  <cols>
    <col min="1" max="1" width="25.33203125" bestFit="1" customWidth="1"/>
    <col min="2" max="2" width="69.44140625" bestFit="1" customWidth="1"/>
  </cols>
  <sheetData>
    <row r="1" spans="1:2" x14ac:dyDescent="0.3">
      <c r="A1" t="s">
        <v>0</v>
      </c>
    </row>
    <row r="2" spans="1:2" x14ac:dyDescent="0.3">
      <c r="A2" t="s">
        <v>47</v>
      </c>
      <c r="B2" t="s">
        <v>60</v>
      </c>
    </row>
    <row r="3" spans="1:2" x14ac:dyDescent="0.3">
      <c r="A3" t="s">
        <v>48</v>
      </c>
    </row>
    <row r="4" spans="1:2" x14ac:dyDescent="0.3">
      <c r="A4" t="s">
        <v>1</v>
      </c>
    </row>
    <row r="5" spans="1:2" x14ac:dyDescent="0.3">
      <c r="A5" t="s">
        <v>2</v>
      </c>
      <c r="B5" t="s">
        <v>60</v>
      </c>
    </row>
    <row r="6" spans="1:2" x14ac:dyDescent="0.3">
      <c r="A6" t="s">
        <v>3</v>
      </c>
      <c r="B6" t="s">
        <v>60</v>
      </c>
    </row>
    <row r="7" spans="1:2" x14ac:dyDescent="0.3">
      <c r="A7" t="s">
        <v>4</v>
      </c>
    </row>
    <row r="8" spans="1:2" x14ac:dyDescent="0.3">
      <c r="A8" t="s">
        <v>5</v>
      </c>
    </row>
    <row r="9" spans="1:2" x14ac:dyDescent="0.3">
      <c r="A9" t="s">
        <v>6</v>
      </c>
    </row>
    <row r="10" spans="1:2" x14ac:dyDescent="0.3">
      <c r="A10" t="s">
        <v>7</v>
      </c>
    </row>
    <row r="11" spans="1:2" x14ac:dyDescent="0.3">
      <c r="A11" t="s">
        <v>8</v>
      </c>
      <c r="B11" s="1" t="s">
        <v>63</v>
      </c>
    </row>
    <row r="12" spans="1:2" x14ac:dyDescent="0.3">
      <c r="A12" t="s">
        <v>9</v>
      </c>
      <c r="B12" s="1" t="s">
        <v>64</v>
      </c>
    </row>
    <row r="13" spans="1:2" x14ac:dyDescent="0.3">
      <c r="A13" t="s">
        <v>10</v>
      </c>
      <c r="B13" t="s">
        <v>60</v>
      </c>
    </row>
    <row r="14" spans="1:2" x14ac:dyDescent="0.3">
      <c r="A14" t="s">
        <v>11</v>
      </c>
      <c r="B14" t="s">
        <v>60</v>
      </c>
    </row>
    <row r="15" spans="1:2" x14ac:dyDescent="0.3">
      <c r="A15" t="s">
        <v>12</v>
      </c>
    </row>
    <row r="16" spans="1:2" x14ac:dyDescent="0.3">
      <c r="A16" t="s">
        <v>13</v>
      </c>
    </row>
    <row r="17" spans="1:2" x14ac:dyDescent="0.3">
      <c r="A17" t="s">
        <v>49</v>
      </c>
      <c r="B17" s="1" t="s">
        <v>59</v>
      </c>
    </row>
    <row r="18" spans="1:2" x14ac:dyDescent="0.3">
      <c r="A18" t="s">
        <v>14</v>
      </c>
      <c r="B18" t="s">
        <v>62</v>
      </c>
    </row>
    <row r="19" spans="1:2" x14ac:dyDescent="0.3">
      <c r="A19" t="s">
        <v>15</v>
      </c>
    </row>
    <row r="20" spans="1:2" x14ac:dyDescent="0.3">
      <c r="A20" t="s">
        <v>50</v>
      </c>
      <c r="B20" t="s">
        <v>61</v>
      </c>
    </row>
    <row r="21" spans="1:2" x14ac:dyDescent="0.3">
      <c r="A21" t="s">
        <v>16</v>
      </c>
    </row>
    <row r="22" spans="1:2" x14ac:dyDescent="0.3">
      <c r="A22" t="s">
        <v>17</v>
      </c>
    </row>
    <row r="23" spans="1:2" x14ac:dyDescent="0.3">
      <c r="A23" t="s">
        <v>18</v>
      </c>
    </row>
    <row r="24" spans="1:2" x14ac:dyDescent="0.3">
      <c r="A24" t="s">
        <v>19</v>
      </c>
    </row>
    <row r="25" spans="1:2" x14ac:dyDescent="0.3">
      <c r="A25" t="s">
        <v>20</v>
      </c>
    </row>
    <row r="26" spans="1:2" x14ac:dyDescent="0.3">
      <c r="A26" t="s">
        <v>21</v>
      </c>
    </row>
    <row r="27" spans="1:2" x14ac:dyDescent="0.3">
      <c r="A27" t="s">
        <v>51</v>
      </c>
      <c r="B27" t="s">
        <v>60</v>
      </c>
    </row>
    <row r="28" spans="1:2" x14ac:dyDescent="0.3">
      <c r="A28" t="s">
        <v>52</v>
      </c>
    </row>
    <row r="29" spans="1:2" x14ac:dyDescent="0.3">
      <c r="A29" t="s">
        <v>22</v>
      </c>
    </row>
    <row r="30" spans="1:2" x14ac:dyDescent="0.3">
      <c r="A30" t="s">
        <v>23</v>
      </c>
    </row>
    <row r="31" spans="1:2" x14ac:dyDescent="0.3">
      <c r="A31" t="s">
        <v>24</v>
      </c>
    </row>
    <row r="32" spans="1:2" x14ac:dyDescent="0.3">
      <c r="A32" t="s">
        <v>25</v>
      </c>
    </row>
    <row r="33" spans="1:3" x14ac:dyDescent="0.3">
      <c r="A33" t="s">
        <v>26</v>
      </c>
      <c r="B33" s="1" t="s">
        <v>58</v>
      </c>
    </row>
    <row r="34" spans="1:3" x14ac:dyDescent="0.3">
      <c r="A34" t="s">
        <v>27</v>
      </c>
      <c r="B34" s="1" t="s">
        <v>56</v>
      </c>
      <c r="C34" t="s">
        <v>57</v>
      </c>
    </row>
    <row r="35" spans="1:3" x14ac:dyDescent="0.3">
      <c r="A35" t="s">
        <v>28</v>
      </c>
      <c r="B35" s="1" t="s">
        <v>55</v>
      </c>
    </row>
    <row r="36" spans="1:3" x14ac:dyDescent="0.3">
      <c r="A36" t="s">
        <v>29</v>
      </c>
      <c r="B36" s="1" t="s">
        <v>54</v>
      </c>
    </row>
    <row r="37" spans="1:3" x14ac:dyDescent="0.3">
      <c r="A37" t="s">
        <v>30</v>
      </c>
      <c r="B37" s="1" t="s">
        <v>53</v>
      </c>
    </row>
    <row r="38" spans="1:3" x14ac:dyDescent="0.3">
      <c r="A38" t="s">
        <v>31</v>
      </c>
    </row>
    <row r="39" spans="1:3" x14ac:dyDescent="0.3">
      <c r="A39" t="s">
        <v>32</v>
      </c>
    </row>
    <row r="40" spans="1:3" x14ac:dyDescent="0.3">
      <c r="A40" t="s">
        <v>33</v>
      </c>
    </row>
    <row r="41" spans="1:3" x14ac:dyDescent="0.3">
      <c r="A41" s="3" t="s">
        <v>65</v>
      </c>
      <c r="B41" s="3" t="s">
        <v>66</v>
      </c>
    </row>
    <row r="42" spans="1:3" x14ac:dyDescent="0.3">
      <c r="A42" s="5" t="s">
        <v>67</v>
      </c>
      <c r="B42" s="5" t="s">
        <v>68</v>
      </c>
    </row>
  </sheetData>
  <autoFilter ref="A1:C40" xr:uid="{BA17DA89-E85F-4597-B94B-473613FC79D7}">
    <sortState xmlns:xlrd2="http://schemas.microsoft.com/office/spreadsheetml/2017/richdata2" ref="A2:C40">
      <sortCondition ref="A1:A40"/>
    </sortState>
  </autoFilter>
  <hyperlinks>
    <hyperlink ref="B37" r:id="rId1" display="https://www.feedipedia.org/node/527" xr:uid="{9D796F16-2A55-41F2-B066-40FB62D78DA3}"/>
    <hyperlink ref="B36" r:id="rId2" display="https://www.feedipedia.org/node/12806" xr:uid="{0D3F6475-3F7E-4230-BF5D-1B1A9D67D318}"/>
    <hyperlink ref="B35" r:id="rId3" display="https://www.feedipedia.org/node/12663" xr:uid="{850085C4-4E6D-4C43-806A-BA1985D7CE16}"/>
    <hyperlink ref="B34" r:id="rId4" display="https://www.feedipedia.org/node/67" xr:uid="{679D6967-9E8A-4CC2-9A7F-D066F495C0D1}"/>
    <hyperlink ref="B33" r:id="rId5" display="https://www.feedipedia.org/node/11683" xr:uid="{D8DFDFB1-7112-4CB0-892D-35C58DF37EC7}"/>
    <hyperlink ref="B17" r:id="rId6" display="https://www.feedipedia.org/node/11574" xr:uid="{9C3D8932-B7C3-4F23-B5AF-0CCF9B1CF004}"/>
    <hyperlink ref="B11" r:id="rId7" xr:uid="{731F2494-EBD0-4189-90DD-144FE15605E0}"/>
    <hyperlink ref="B12" r:id="rId8" display="https://www.feedipedia.org/node/11687" xr:uid="{0ABC761E-265E-4D42-A75F-0D6FCBFE9A8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all_ingredients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2025-12-12T00:01:41Z</dcterms:modified>
</cp:coreProperties>
</file>